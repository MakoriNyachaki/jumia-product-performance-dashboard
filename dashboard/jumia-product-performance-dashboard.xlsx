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xml" ContentType="application/vnd.openxmlformats-officedocument.drawing+xml"/>
  <Override PartName="/xl/slicers/slicer2.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Sesoft Technologies\Desktop\Projects\jumia-product-performance-dashboard\dashboard\"/>
    </mc:Choice>
  </mc:AlternateContent>
  <xr:revisionPtr revIDLastSave="0" documentId="13_ncr:1_{624BE1A4-C266-4B09-BCC5-DC793B23051A}" xr6:coauthVersionLast="47" xr6:coauthVersionMax="47" xr10:uidLastSave="{00000000-0000-0000-0000-000000000000}"/>
  <bookViews>
    <workbookView xWindow="-110" yWindow="-110" windowWidth="19420" windowHeight="10300" firstSheet="1" activeTab="5" xr2:uid="{63762EA4-9948-48F8-9653-1E2E71512876}"/>
  </bookViews>
  <sheets>
    <sheet name="Raw Data" sheetId="1" r:id="rId1"/>
    <sheet name="Cleaned Data" sheetId="2" r:id="rId2"/>
    <sheet name="Analysis" sheetId="3" r:id="rId3"/>
    <sheet name="Pivot Tables" sheetId="7" r:id="rId4"/>
    <sheet name="Charts" sheetId="12" state="hidden" r:id="rId5"/>
    <sheet name="Dashboard" sheetId="5" r:id="rId6"/>
    <sheet name="Data Dictionary" sheetId="6" r:id="rId7"/>
  </sheets>
  <definedNames>
    <definedName name="Avearage_Current_Price">Analysis!$B$9</definedName>
    <definedName name="Price_Q1">Analysis!$B$2</definedName>
    <definedName name="Price_Q2">Analysis!$B$3</definedName>
    <definedName name="Price_Q3">Analysis!$B$3</definedName>
    <definedName name="Slicer_Discount">#N/A</definedName>
    <definedName name="Slicer_Discount_Category">#N/A</definedName>
    <definedName name="Slicer_Price_Category">#N/A</definedName>
    <definedName name="Slicer_Rating_Category">#N/A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5" i="3" l="1"/>
  <c r="E4" i="3"/>
  <c r="E3" i="3"/>
  <c r="B8" i="3"/>
  <c r="B15" i="3"/>
  <c r="B20" i="3" s="1"/>
  <c r="B14" i="3"/>
  <c r="B19" i="3" s="1"/>
  <c r="B13" i="3"/>
  <c r="B12" i="3"/>
  <c r="B11" i="3"/>
  <c r="B10" i="3"/>
  <c r="B9" i="3"/>
  <c r="B3" i="3"/>
  <c r="B2" i="3"/>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B10" i="6"/>
  <c r="B11" i="6"/>
  <c r="B14" i="6" a="1"/>
  <c r="B14" i="6" s="1"/>
  <c r="B12" i="6"/>
  <c r="B6" i="6" a="1"/>
  <c r="B6" i="6" s="1"/>
  <c r="B9" i="6" a="1"/>
  <c r="B9" i="6" s="1"/>
  <c r="B8" i="6"/>
  <c r="B7" i="6" a="1"/>
  <c r="B7" i="6" s="1"/>
  <c r="D8" i="2" l="1"/>
  <c r="D102" i="2"/>
  <c r="D111" i="2"/>
  <c r="D103" i="2"/>
  <c r="D95" i="2"/>
  <c r="D87" i="2"/>
  <c r="D79" i="2"/>
  <c r="D71" i="2"/>
  <c r="D63" i="2"/>
  <c r="D55" i="2"/>
  <c r="D47" i="2"/>
  <c r="D39" i="2"/>
  <c r="D31" i="2"/>
  <c r="D23" i="2"/>
  <c r="D15" i="2"/>
  <c r="D7" i="2"/>
  <c r="D110" i="2"/>
  <c r="D94" i="2"/>
  <c r="D86" i="2"/>
  <c r="D78" i="2"/>
  <c r="D70" i="2"/>
  <c r="D62" i="2"/>
  <c r="D54" i="2"/>
  <c r="D46" i="2"/>
  <c r="D38" i="2"/>
  <c r="D30" i="2"/>
  <c r="D22" i="2"/>
  <c r="D14" i="2"/>
  <c r="D6" i="2"/>
  <c r="D109" i="2"/>
  <c r="D101" i="2"/>
  <c r="D93" i="2"/>
  <c r="D85" i="2"/>
  <c r="D77" i="2"/>
  <c r="D69" i="2"/>
  <c r="D61" i="2"/>
  <c r="D53" i="2"/>
  <c r="D45" i="2"/>
  <c r="D37" i="2"/>
  <c r="D29" i="2"/>
  <c r="D21" i="2"/>
  <c r="D13" i="2"/>
  <c r="D5" i="2"/>
  <c r="D108" i="2"/>
  <c r="D100" i="2"/>
  <c r="D92" i="2"/>
  <c r="D84" i="2"/>
  <c r="D76" i="2"/>
  <c r="D68" i="2"/>
  <c r="D60" i="2"/>
  <c r="D52" i="2"/>
  <c r="D44" i="2"/>
  <c r="D36" i="2"/>
  <c r="D28" i="2"/>
  <c r="D20" i="2"/>
  <c r="D12" i="2"/>
  <c r="D4" i="2"/>
  <c r="D107" i="2"/>
  <c r="D99" i="2"/>
  <c r="D91" i="2"/>
  <c r="D83" i="2"/>
  <c r="D75" i="2"/>
  <c r="D67" i="2"/>
  <c r="D59" i="2"/>
  <c r="D51" i="2"/>
  <c r="D43" i="2"/>
  <c r="D35" i="2"/>
  <c r="D27" i="2"/>
  <c r="D19" i="2"/>
  <c r="D11" i="2"/>
  <c r="D3" i="2"/>
  <c r="D106" i="2"/>
  <c r="D98" i="2"/>
  <c r="D90" i="2"/>
  <c r="D82" i="2"/>
  <c r="D74" i="2"/>
  <c r="D66" i="2"/>
  <c r="D58" i="2"/>
  <c r="D50" i="2"/>
  <c r="D42" i="2"/>
  <c r="D34" i="2"/>
  <c r="D26" i="2"/>
  <c r="D18" i="2"/>
  <c r="D10" i="2"/>
  <c r="D2" i="2"/>
  <c r="D113" i="2"/>
  <c r="D105" i="2"/>
  <c r="D97" i="2"/>
  <c r="D89" i="2"/>
  <c r="D81" i="2"/>
  <c r="D73" i="2"/>
  <c r="D65" i="2"/>
  <c r="D57" i="2"/>
  <c r="D49" i="2"/>
  <c r="D41" i="2"/>
  <c r="D33" i="2"/>
  <c r="D25" i="2"/>
  <c r="D17" i="2"/>
  <c r="D9" i="2"/>
  <c r="D112" i="2"/>
  <c r="D104" i="2"/>
  <c r="D96" i="2"/>
  <c r="D88" i="2"/>
  <c r="D80" i="2"/>
  <c r="D72" i="2"/>
  <c r="D64" i="2"/>
  <c r="D56" i="2"/>
  <c r="D48" i="2"/>
  <c r="D40" i="2"/>
  <c r="D32" i="2"/>
  <c r="D24" i="2"/>
  <c r="D1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<sst xmlns="http://schemas.openxmlformats.org/spreadsheetml/2006/main" count="779" uniqueCount="420">
  <si>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</si>
  <si>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</si>
  <si>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</si>
  <si>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</si>
  <si>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</si>
  <si>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</si>
  <si>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</si>
  <si>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</si>
  <si>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</si>
  <si>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</si>
  <si>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</si>
  <si>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</si>
  <si>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</si>
  <si>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</si>
  <si>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</si>
  <si>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</si>
  <si>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</si>
  <si>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</si>
  <si>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</si>
  <si>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</si>
  <si>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</si>
  <si>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</si>
  <si>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</si>
  <si>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</si>
  <si>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</si>
  <si>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</si>
  <si>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</si>
  <si>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</si>
  <si>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</si>
  <si>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</si>
  <si>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</si>
  <si>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</si>
  <si>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</si>
  <si>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</si>
  <si>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</si>
  <si>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</si>
  <si>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</si>
  <si>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</si>
  <si>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</si>
  <si>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</si>
  <si>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</si>
  <si>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</si>
  <si>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</si>
  <si>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</si>
  <si>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</si>
  <si>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</si>
  <si>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</si>
  <si>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</si>
  <si>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</si>
  <si>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</si>
  <si>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</si>
  <si>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</si>
  <si>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</si>
  <si>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</si>
  <si>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</si>
  <si>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</si>
  <si>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</si>
  <si>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</si>
  <si>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</si>
  <si>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</si>
  <si>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</si>
  <si>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</si>
  <si>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</si>
  <si>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</si>
  <si>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</si>
  <si>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</si>
  <si>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</si>
  <si>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</si>
  <si>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</si>
  <si>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</si>
  <si>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</si>
  <si>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</si>
  <si>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</si>
  <si>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</si>
  <si>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</si>
  <si>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</si>
  <si>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</si>
  <si>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</si>
  <si>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</si>
  <si>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</si>
  <si>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</si>
  <si>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</si>
  <si>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</si>
  <si>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</si>
  <si>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</si>
  <si>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</si>
  <si>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</si>
  <si>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</si>
  <si>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</si>
  <si>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</si>
  <si>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</si>
  <si>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</si>
  <si>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</si>
  <si>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</si>
  <si>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</si>
  <si>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</si>
  <si>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</si>
  <si>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</si>
  <si>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</si>
  <si>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</si>
  <si>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</si>
  <si>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</si>
  <si>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</si>
  <si>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</si>
  <si>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</si>
  <si>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</si>
  <si>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</si>
  <si>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</si>
  <si>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</si>
  <si>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</si>
  <si>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</si>
  <si>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</si>
  <si>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</si>
  <si>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</si>
  <si>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</si>
  <si>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</si>
  <si>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</si>
  <si>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</si>
  <si>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</si>
  <si>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</si>
  <si>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</si>
  <si>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</si>
  <si>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</si>
  <si>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</si>
  <si>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</si>
  <si>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</si>
  <si>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</si>
  <si>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</si>
  <si>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</si>
  <si>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</si>
  <si>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</si>
  <si>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</si>
  <si>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</si>
  <si>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</si>
  <si>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</si>
  <si>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</si>
  <si>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</si>
  <si>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</si>
  <si>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</si>
  <si>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</si>
  <si>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</si>
  <si>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</si>
  <si>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</si>
  <si>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</si>
  <si>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</si>
  <si>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</si>
  <si>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</si>
  <si>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</si>
  <si>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</si>
  <si>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</si>
  <si>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</si>
  <si>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</si>
  <si>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</si>
  <si>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</si>
  <si>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</si>
  <si>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</si>
  <si>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</si>
  <si>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</si>
  <si>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</si>
  <si>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</si>
  <si>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</si>
  <si>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</si>
  <si>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</si>
  <si>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</si>
  <si>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</si>
  <si>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</si>
  <si>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</si>
  <si>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</si>
  <si>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</si>
  <si>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</si>
  <si>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</si>
  <si>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</si>
  <si>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</si>
  <si>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</si>
  <si>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</si>
  <si>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</si>
  <si>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</si>
  <si>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</si>
  <si>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</si>
  <si>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</si>
  <si>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</si>
  <si>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</si>
  <si>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</si>
  <si>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</si>
  <si>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</si>
  <si>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</si>
  <si>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</si>
  <si>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</si>
  <si>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</si>
  <si>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</si>
  <si>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</si>
  <si>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</si>
  <si>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</si>
  <si>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</si>
  <si>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</si>
  <si>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</si>
  <si>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</si>
  <si>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</si>
  <si>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</si>
  <si>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</si>
  <si>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</si>
  <si>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</si>
  <si>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</si>
  <si>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</si>
  <si>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</si>
  <si>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</si>
  <si>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</si>
  <si>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</si>
  <si>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</si>
  <si>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</si>
  <si>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</si>
  <si>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</si>
  <si>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</si>
  <si>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</si>
  <si>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</si>
  <si>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</si>
  <si>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</si>
  <si>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</si>
  <si>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</si>
  <si>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</si>
  <si>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</si>
  <si>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</si>
  <si>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</si>
  <si>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</si>
  <si>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</si>
  <si>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</si>
  <si>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</si>
  <si>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</si>
  <si>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</si>
  <si>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</si>
  <si>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</si>
  <si>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</si>
  <si>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</si>
  <si>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</si>
  <si>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</si>
  <si>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</si>
  <si>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</si>
  <si>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</si>
  <si>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</si>
  <si>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</si>
  <si>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</si>
  <si>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</si>
  <si>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</si>
  <si>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</si>
  <si>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</si>
  <si>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</si>
  <si>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</si>
  <si>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</si>
  <si>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</si>
  <si>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</si>
  <si>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</si>
  <si>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</si>
  <si>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</si>
  <si>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</si>
  <si>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</si>
  <si>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</si>
  <si>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</si>
  <si>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</si>
  <si>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</si>
  <si>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</si>
  <si>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</si>
  <si>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</si>
  <si>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</si>
  <si>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</si>
  <si>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</si>
  <si>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</si>
  <si>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</si>
  <si>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</si>
  <si>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</si>
  <si>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</si>
  <si>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</si>
  <si>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</si>
  <si>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</si>
  <si>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</si>
  <si>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</si>
  <si>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</si>
  <si>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</si>
  <si>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</si>
  <si>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</si>
  <si>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</si>
  <si>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</si>
  <si>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</si>
  <si>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</si>
  <si>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</si>
  <si>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</si>
  <si>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</si>
  <si>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</si>
  <si>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</si>
  <si>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</si>
  <si>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</si>
  <si>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</si>
  <si>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</si>
  <si>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</si>
  <si>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</si>
  <si>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</si>
  <si>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</si>
  <si>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</si>
  <si>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</si>
  <si>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</si>
  <si>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</si>
  <si>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</si>
  <si>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</si>
  <si>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</si>
  <si>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</si>
  <si>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</si>
  <si>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</si>
  <si>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</si>
  <si>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</si>
  <si>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</si>
  <si>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</si>
  <si>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</si>
  <si>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</si>
  <si>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</si>
  <si>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</si>
  <si>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</si>
  <si>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</si>
  <si>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</si>
  <si>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</si>
  <si>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</si>
  <si>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</si>
  <si>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</si>
  <si>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</si>
  <si>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</si>
  <si>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Data Quality Audit</t>
  </si>
  <si>
    <t>Number of Rows</t>
  </si>
  <si>
    <t>Number of Columns</t>
  </si>
  <si>
    <t>Ratings outside 0 - 5</t>
  </si>
  <si>
    <t>Discounts</t>
  </si>
  <si>
    <t>Issue</t>
  </si>
  <si>
    <t>Rows Affected</t>
  </si>
  <si>
    <t>Decision</t>
  </si>
  <si>
    <t>Reason</t>
  </si>
  <si>
    <t>Convert to Number/Currency</t>
  </si>
  <si>
    <t>Prices are always formatted to currency, the reason might be mis-interpretation of the data format during scrapping.</t>
  </si>
  <si>
    <t>Convert to Number with 1 decimal place</t>
  </si>
  <si>
    <t>Convert to percentages</t>
  </si>
  <si>
    <t>Convert itno absolute values</t>
  </si>
  <si>
    <t>Negative Review Values</t>
  </si>
  <si>
    <t>Convert to absolute whole numbers. Review counts can not be negative. The negative sigh is considered as a scrapping artifact.</t>
  </si>
  <si>
    <t>Text Type Ratings</t>
  </si>
  <si>
    <r>
      <t xml:space="preserve">Reviews are continous measures. The error might result from web scrapping anomalies. Replaced the </t>
    </r>
    <r>
      <rPr>
        <i/>
        <sz val="11"/>
        <color theme="1"/>
        <rFont val="Aptos Narrow"/>
        <family val="2"/>
        <scheme val="minor"/>
      </rPr>
      <t>out of 5</t>
    </r>
    <r>
      <rPr>
        <sz val="11"/>
        <color theme="1"/>
        <rFont val="Aptos Narrow"/>
        <family val="2"/>
        <scheme val="minor"/>
      </rPr>
      <t xml:space="preserve"> with blank, then converted to Number type.</t>
    </r>
  </si>
  <si>
    <t/>
  </si>
  <si>
    <t>Rating</t>
  </si>
  <si>
    <t>Non-numeric  Prices both Current and Old Prices</t>
  </si>
  <si>
    <t>Discounts ouside 0-100%</t>
  </si>
  <si>
    <t>All discounts are between 0 - 100%</t>
  </si>
  <si>
    <t>Price Ranges</t>
  </si>
  <si>
    <t>Duplicates and Field used to identify duplicates.</t>
  </si>
  <si>
    <t>Converted them to currency</t>
  </si>
  <si>
    <t>Prices are always formatted to currency, the reason might be mis-interpretation of the data format during scrapping. Calculated the midpoint price and used it instead. That is price =( Lower Price + Higher)/2</t>
  </si>
  <si>
    <t>Removed them, Used all fields</t>
  </si>
  <si>
    <t>Duplicates can result from errors while scrapping and wrangling data. Since we will be dealing with each product there is no need to have duplicates. They will increase redundancy leading to inaccuracy.</t>
  </si>
  <si>
    <t>Current Prices greater than old prices</t>
  </si>
  <si>
    <t>All current prices are less than old prices.</t>
  </si>
  <si>
    <t>Mispelt Titles</t>
  </si>
  <si>
    <t>Corrected the spelling of the title from Ratingd to Rating</t>
  </si>
  <si>
    <t>Corrected the spelling of the word by selecting the cell and typing in the new word with the correct spelling.</t>
  </si>
  <si>
    <t>All ratings are between  0 and 5</t>
  </si>
  <si>
    <t>Trailing White Spaces and extra spaces</t>
  </si>
  <si>
    <t>Remove the trailling and expra spaces</t>
  </si>
  <si>
    <t>Used the TRIM() function to clean and remove extra and whiter spaces before and after text in all columns and rows for consistency and easy loading of data.</t>
  </si>
  <si>
    <t>115 Piece Set Of Multifunctional Precision Screwdrivers</t>
  </si>
  <si>
    <t>Anti-Skid Absorbent Insulation Coaster For Home Office</t>
  </si>
  <si>
    <t>Peacock Throw Pillow Cushion Case For Home Car</t>
  </si>
  <si>
    <t>LED Eye Protection Desk Lamp , Study, Reading, USB Fan - Double Pen Holder</t>
  </si>
  <si>
    <t>Intelligent LED Body Sensor Wireless Lighting Night Light USB</t>
  </si>
  <si>
    <t>All Rows in column 1</t>
  </si>
  <si>
    <t>Discount Amount</t>
  </si>
  <si>
    <t>Rating Category</t>
  </si>
  <si>
    <t>Discount Category</t>
  </si>
  <si>
    <t>Price Category</t>
  </si>
  <si>
    <t>Price_Q1</t>
  </si>
  <si>
    <t>Price_Q3</t>
  </si>
  <si>
    <t>1st Quartile for current prices</t>
  </si>
  <si>
    <t>3rd Quartile for current prices.</t>
  </si>
  <si>
    <t>Used to show to customers  products that have are  from the low price category.</t>
  </si>
  <si>
    <t>Used to show to customers  products that have are  from the high price category.</t>
  </si>
  <si>
    <t>Total Products</t>
  </si>
  <si>
    <t>Avearage Current Price</t>
  </si>
  <si>
    <t>Average Old Price</t>
  </si>
  <si>
    <t>Average Discount</t>
  </si>
  <si>
    <t>Average Rating</t>
  </si>
  <si>
    <t>Total Reviews</t>
  </si>
  <si>
    <t>Most Expensive Price</t>
  </si>
  <si>
    <t>Least Expensive Price</t>
  </si>
  <si>
    <t>Products Associated with Extremes.</t>
  </si>
  <si>
    <t>Max Current Price</t>
  </si>
  <si>
    <t>Minimum Current Price</t>
  </si>
  <si>
    <t>Mismatching  header cases</t>
  </si>
  <si>
    <t>Formatted the header to proper case</t>
  </si>
  <si>
    <t>Old Price</t>
  </si>
  <si>
    <t>Current Price</t>
  </si>
  <si>
    <t>For consistency avoid errors changed the "old price"  and "Current price" to proper case.</t>
  </si>
  <si>
    <t>Row Labels</t>
  </si>
  <si>
    <t>Grand Total</t>
  </si>
  <si>
    <t>(Multiple Items)</t>
  </si>
  <si>
    <t>Sum of Review</t>
  </si>
  <si>
    <t>High Discount</t>
  </si>
  <si>
    <t>Average</t>
  </si>
  <si>
    <t>Excellent</t>
  </si>
  <si>
    <t>Missing</t>
  </si>
  <si>
    <t>Poor</t>
  </si>
  <si>
    <t>Unclassified</t>
  </si>
  <si>
    <t>Count of Product</t>
  </si>
  <si>
    <t>Low Discount</t>
  </si>
  <si>
    <t>Medium Discount</t>
  </si>
  <si>
    <t>High Price</t>
  </si>
  <si>
    <t>Low Price</t>
  </si>
  <si>
    <t>Medium Price</t>
  </si>
  <si>
    <t>Average of Rating</t>
  </si>
  <si>
    <t>Average of Discount</t>
  </si>
  <si>
    <t>Item</t>
  </si>
  <si>
    <t>Value</t>
  </si>
  <si>
    <t>Sum of Rating</t>
  </si>
  <si>
    <t>Sum of Discount</t>
  </si>
  <si>
    <t>Average of Review</t>
  </si>
  <si>
    <t>Discount vs Review</t>
  </si>
  <si>
    <t>Rating vs Review</t>
  </si>
  <si>
    <t>Coefficient</t>
  </si>
  <si>
    <t>Current Price vs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</si>
</sst>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Ksh&quot;#,##0.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
      <sz val="8"/>
      <name val="Aptos Narrow"/>
      <family val="2"/>
      <scheme val="minor"/>
    </font>
    <font>
      <sz val="11"/>
      <color rgb="FF1F2328"/>
      <name val="Aptos Narrow"/>
      <family val="2"/>
      <scheme val="minor"/>
    </font>
    <font>
      <sz val="7"/>
      <color rgb="FF1F2328"/>
      <name val="Consolas"/>
      <family val="3"/>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tint="-4.9989318521683403E-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8">
    <xf numFmtId="0" fontId="0" fillId="0" borderId="0" xfId="0"/>
    <xf numFmtId="9" fontId="0" fillId="0" borderId="0" xfId="0" applyNumberFormat="1"/>
    <xf numFmtId="0" fontId="0" fillId="0" borderId="0" xfId="0" applyAlignment="1">
      <alignment wrapText="1"/>
    </xf>
    <xf numFmtId="164" fontId="0" fillId="0" borderId="0" xfId="0" applyNumberFormat="1"/>
    <xf numFmtId="0" fontId="16" fillId="0" borderId="0" xfId="0" applyFont="1"/>
    <xf numFmtId="165" fontId="0" fillId="0" borderId="0" xfId="0" applyNumberFormat="1"/>
    <xf numFmtId="9" fontId="0" fillId="0" borderId="0" xfId="42" applyFont="1"/>
    <xf numFmtId="1"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1" fillId="0" borderId="0" xfId="0" applyFont="1" applyAlignment="1">
      <alignment horizontal="left" vertical="center" indent="1"/>
    </xf>
    <xf numFmtId="0" fontId="0" fillId="33" borderId="0" xfId="0" applyFill="1"/>
    <xf numFmtId="0" fontId="0" fillId="34" borderId="0" xfId="0" applyFill="1"/>
    <xf numFmtId="0" fontId="0" fillId="0" borderId="10" xfId="0" applyBorder="1"/>
    <xf numFmtId="0" fontId="16" fillId="0" borderId="10" xfId="0" applyFont="1" applyBorder="1"/>
    <xf numFmtId="0" fontId="0" fillId="0" borderId="10" xfId="0" applyBorder="1" applyAlignment="1">
      <alignment wrapText="1"/>
    </xf>
    <xf numFmtId="1" fontId="20" fillId="0" borderId="10" xfId="0" applyNumberFormat="1" applyFont="1" applyBorder="1" applyAlignment="1">
      <alignment horizontal="left" vertical="center" indent="1"/>
    </xf>
    <xf numFmtId="165" fontId="0" fillId="0" borderId="10" xfId="0" applyNumberFormat="1" applyBorder="1"/>
    <xf numFmtId="9" fontId="0" fillId="0" borderId="10" xfId="42" applyFont="1" applyBorder="1"/>
    <xf numFmtId="164" fontId="0" fillId="0" borderId="10" xfId="0" applyNumberFormat="1" applyBorder="1"/>
    <xf numFmtId="0" fontId="16" fillId="0" borderId="0" xfId="0" applyFont="1" applyBorder="1"/>
    <xf numFmtId="0" fontId="0" fillId="0" borderId="0" xfId="0" applyBorder="1"/>
    <xf numFmtId="165" fontId="0" fillId="0" borderId="0" xfId="0" applyNumberFormat="1" applyBorder="1"/>
    <xf numFmtId="0" fontId="16" fillId="0" borderId="11" xfId="0" applyFont="1" applyBorder="1" applyAlignment="1">
      <alignment horizontal="center"/>
    </xf>
    <xf numFmtId="0" fontId="16" fillId="0" borderId="10" xfId="0" applyFont="1" applyBorder="1" applyAlignment="1">
      <alignment horizontal="center"/>
    </xf>
    <xf numFmtId="0" fontId="16" fillId="0" borderId="0" xfId="0" applyFon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0">
    <dxf>
      <font>
        <color rgb="FF9C0006"/>
      </font>
      <fill>
        <patternFill>
          <bgColor rgb="FFFFC7CE"/>
        </patternFill>
      </fill>
    </dxf>
    <dxf>
      <numFmt numFmtId="2" formatCode="0.00"/>
    </dxf>
    <dxf>
      <numFmt numFmtId="164" formatCode="0.0"/>
    </dxf>
    <dxf>
      <numFmt numFmtId="164" formatCode="0.0"/>
    </dxf>
    <dxf>
      <numFmt numFmtId="1" formatCode="0"/>
    </dxf>
    <dxf>
      <font>
        <b val="0"/>
        <i val="0"/>
        <strike val="0"/>
        <condense val="0"/>
        <extend val="0"/>
        <outline val="0"/>
        <shadow val="0"/>
        <u val="none"/>
        <vertAlign val="baseline"/>
        <sz val="11"/>
        <color theme="1"/>
        <name val="Aptos Narrow"/>
        <family val="2"/>
        <scheme val="minor"/>
      </font>
      <numFmt numFmtId="13" formatCode="0%"/>
    </dxf>
    <dxf>
      <numFmt numFmtId="165" formatCode="&quot;Ksh&quot;#,##0.00"/>
    </dxf>
    <dxf>
      <numFmt numFmtId="165" formatCode="&quot;Ksh&quot;#,##0.00"/>
    </dxf>
    <dxf>
      <numFmt numFmtId="165" formatCode="&quot;Ksh&quot;#,##0.00"/>
    </dxf>
    <dxf>
      <numFmt numFmtId="165" formatCode="&quot;Ksh&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[jumia-product-performance-dashboard.xlsx]Pivot Tables!Rating Mix</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Product</a:t>
            </a:r>
            <a:r>
              <a:rPr lang="en-US" b="1" baseline="0">
                <a:solidFill>
                  <a:schemeClr val="tx1"/>
                </a:solidFill>
              </a:rPr>
              <a:t> Count per Rating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KE"/>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tint val="54000"/>
            </a:schemeClr>
          </a:solidFill>
          <a:ln w="19050">
            <a:solidFill>
              <a:schemeClr val="lt1"/>
            </a:solidFill>
          </a:ln>
          <a:effectLst/>
        </c:spPr>
      </c:pivotFmt>
      <c:pivotFmt>
        <c:idx val="2"/>
        <c:spPr>
          <a:solidFill>
            <a:schemeClr val="accent2">
              <a:tint val="77000"/>
            </a:schemeClr>
          </a:solidFill>
          <a:ln w="19050">
            <a:solidFill>
              <a:schemeClr val="lt1"/>
            </a:solidFill>
          </a:ln>
          <a:effectLst/>
        </c:spPr>
      </c:pivotFmt>
      <c:pivotFmt>
        <c:idx val="3"/>
        <c:spPr>
          <a:solidFill>
            <a:schemeClr val="accent2">
              <a:tint val="54000"/>
            </a:schemeClr>
          </a:solidFill>
          <a:ln w="19050">
            <a:solidFill>
              <a:schemeClr val="lt1"/>
            </a:solidFill>
          </a:ln>
          <a:effectLst/>
        </c:spPr>
      </c:pivotFmt>
      <c:pivotFmt>
        <c:idx val="4"/>
        <c:spPr>
          <a:solidFill>
            <a:schemeClr val="accent2">
              <a:shade val="76000"/>
            </a:schemeClr>
          </a:solidFill>
          <a:ln w="19050">
            <a:solidFill>
              <a:schemeClr val="lt1"/>
            </a:solidFill>
          </a:ln>
          <a:effectLst/>
        </c:spPr>
      </c:pivotFmt>
      <c:pivotFmt>
        <c:idx val="5"/>
        <c:spPr>
          <a:solidFill>
            <a:schemeClr val="accent2">
              <a:shade val="53000"/>
            </a:schemeClr>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tint val="54000"/>
            </a:schemeClr>
          </a:solidFill>
          <a:ln w="19050">
            <a:solidFill>
              <a:schemeClr val="lt1"/>
            </a:solidFill>
          </a:ln>
          <a:effectLst/>
        </c:spPr>
      </c:pivotFmt>
      <c:pivotFmt>
        <c:idx val="8"/>
        <c:spPr>
          <a:solidFill>
            <a:schemeClr val="accent2">
              <a:tint val="77000"/>
            </a:schemeClr>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hade val="76000"/>
            </a:schemeClr>
          </a:solidFill>
          <a:ln w="19050">
            <a:solidFill>
              <a:schemeClr val="lt1"/>
            </a:solidFill>
          </a:ln>
          <a:effectLst/>
        </c:spPr>
      </c:pivotFmt>
      <c:pivotFmt>
        <c:idx val="11"/>
        <c:spPr>
          <a:solidFill>
            <a:schemeClr val="accent2">
              <a:shade val="53000"/>
            </a:schemeClr>
          </a:solidFill>
          <a:ln w="19050">
            <a:solidFill>
              <a:schemeClr val="lt1"/>
            </a:solidFill>
          </a:ln>
          <a:effectLst/>
        </c:spPr>
      </c:pivotFmt>
    </c:pivotFmts>
    <c:plotArea>
      <c:layout/>
      <c:doughnutChart>
        <c:varyColors val="1"/>
        <c:ser>
          <c:idx val="0"/>
          <c:order val="0"/>
          <c:tx>
            <c:strRef>
              <c:f>'Pivot Tables'!$V$3</c:f>
              <c:strCache>
                <c:ptCount val="1"/>
                <c:pt idx="0">
                  <c:v>Total</c:v>
                </c:pt>
              </c:strCache>
            </c:strRef>
          </c:tx>
          <c:dPt>
            <c:idx val="0"/>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1-242E-4A0D-9652-7906475502FE}"/>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242E-4A0D-9652-7906475502FE}"/>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242E-4A0D-9652-7906475502FE}"/>
              </c:ext>
            </c:extLst>
          </c:dPt>
          <c:dPt>
            <c:idx val="3"/>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7-242E-4A0D-9652-7906475502FE}"/>
              </c:ext>
            </c:extLst>
          </c:dPt>
          <c:dPt>
            <c:idx val="4"/>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9-242E-4A0D-9652-7906475502FE}"/>
              </c:ext>
            </c:extLst>
          </c:dPt>
          <c:cat>
            <c:strRef>
              <c:f>'Pivot Tables'!$U$4:$U$9</c:f>
              <c:strCache>
                <c:ptCount val="5"/>
                <c:pt idx="0">
                  <c:v>Average</c:v>
                </c:pt>
                <c:pt idx="1">
                  <c:v>Excellent</c:v>
                </c:pt>
                <c:pt idx="2">
                  <c:v>Missing</c:v>
                </c:pt>
                <c:pt idx="3">
                  <c:v>Poor</c:v>
                </c:pt>
                <c:pt idx="4">
                  <c:v>Unclassified</c:v>
                </c:pt>
              </c:strCache>
            </c:strRef>
          </c:cat>
          <c:val>
            <c:numRef>
              <c:f>'Pivot Tables'!$V$4:$V$9</c:f>
              <c:numCache>
                <c:formatCode>General</c:formatCode>
                <c:ptCount val="5"/>
                <c:pt idx="0">
                  <c:v>13</c:v>
                </c:pt>
                <c:pt idx="1">
                  <c:v>23</c:v>
                </c:pt>
                <c:pt idx="2">
                  <c:v>55</c:v>
                </c:pt>
                <c:pt idx="3">
                  <c:v>12</c:v>
                </c:pt>
                <c:pt idx="4">
                  <c:v>9</c:v>
                </c:pt>
              </c:numCache>
            </c:numRef>
          </c:val>
          <c:extLst>
            <c:ext xmlns:c16="http://schemas.microsoft.com/office/drawing/2014/chart" uri="{C3380CC4-5D6E-409C-BE32-E72D297353CC}">
              <c16:uniqueId val="{0000000A-5BDB-4463-968F-D3F00E4F202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[jumia-product-performance-dashboard.xlsx]Pivot Tables!Discount Mix</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Product Count per Discount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Tables'!$C$4</c:f>
              <c:strCache>
                <c:ptCount val="1"/>
                <c:pt idx="0">
                  <c:v>Total</c:v>
                </c:pt>
              </c:strCache>
            </c:strRef>
          </c:tx>
          <c:spPr>
            <a:solidFill>
              <a:schemeClr val="accent2"/>
            </a:solidFill>
            <a:ln>
              <a:noFill/>
            </a:ln>
            <a:effectLst/>
          </c:spPr>
          <c:invertIfNegative val="0"/>
          <c:cat>
            <c:strRef>
              <c:f>'Pivot Tables'!$B$5:$B$8</c:f>
              <c:strCache>
                <c:ptCount val="3"/>
                <c:pt idx="0">
                  <c:v>High Discount</c:v>
                </c:pt>
                <c:pt idx="1">
                  <c:v>Medium Discount</c:v>
                </c:pt>
                <c:pt idx="2">
                  <c:v>Low Discount</c:v>
                </c:pt>
              </c:strCache>
            </c:strRef>
          </c:cat>
          <c:val>
            <c:numRef>
              <c:f>'Pivot Tables'!$C$5:$C$8</c:f>
              <c:numCache>
                <c:formatCode>General</c:formatCode>
                <c:ptCount val="3"/>
                <c:pt idx="0">
                  <c:v>62</c:v>
                </c:pt>
                <c:pt idx="1">
                  <c:v>32</c:v>
                </c:pt>
                <c:pt idx="2">
                  <c:v>18</c:v>
                </c:pt>
              </c:numCache>
            </c:numRef>
          </c:val>
          <c:extLst>
            <c:ext xmlns:c16="http://schemas.microsoft.com/office/drawing/2014/chart" uri="{C3380CC4-5D6E-409C-BE32-E72D297353CC}">
              <c16:uniqueId val="{00000000-19F3-4F06-B3A6-2B960DF1B114}"/>
            </c:ext>
          </c:extLst>
        </c:ser>
        <c:dLbls>
          <c:showLegendKey val="0"/>
          <c:showVal val="0"/>
          <c:showCatName val="0"/>
          <c:showSerName val="0"/>
          <c:showPercent val="0"/>
          <c:showBubbleSize val="0"/>
        </c:dLbls>
        <c:gapWidth val="219"/>
        <c:overlap val="-27"/>
        <c:axId val="757089951"/>
        <c:axId val="757090911"/>
      </c:barChart>
      <c:catAx>
        <c:axId val="757089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7090911"/>
        <c:crosses val="autoZero"/>
        <c:auto val="1"/>
        <c:lblAlgn val="ctr"/>
        <c:lblOffset val="100"/>
        <c:noMultiLvlLbl val="0"/>
      </c:catAx>
      <c:valAx>
        <c:axId val="7570909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7089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[jumia-product-performance-dashboard.xlsx]Pivot Tables!Prices vs Rating</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Average Rating per Price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Tables'!$F$4</c:f>
              <c:strCache>
                <c:ptCount val="1"/>
                <c:pt idx="0">
                  <c:v>Total</c:v>
                </c:pt>
              </c:strCache>
            </c:strRef>
          </c:tx>
          <c:spPr>
            <a:solidFill>
              <a:schemeClr val="accent2"/>
            </a:solidFill>
            <a:ln>
              <a:noFill/>
            </a:ln>
            <a:effectLst/>
          </c:spPr>
          <c:invertIfNegative val="0"/>
          <c:cat>
            <c:strRef>
              <c:f>'Pivot Tables'!$E$5:$E$8</c:f>
              <c:strCache>
                <c:ptCount val="3"/>
                <c:pt idx="0">
                  <c:v>Low Price</c:v>
                </c:pt>
                <c:pt idx="1">
                  <c:v>Medium Price</c:v>
                </c:pt>
                <c:pt idx="2">
                  <c:v>High Price</c:v>
                </c:pt>
              </c:strCache>
            </c:strRef>
          </c:cat>
          <c:val>
            <c:numRef>
              <c:f>'Pivot Tables'!$F$5:$F$8</c:f>
              <c:numCache>
                <c:formatCode>0.0</c:formatCode>
                <c:ptCount val="3"/>
                <c:pt idx="0">
                  <c:v>3.6357142857142857</c:v>
                </c:pt>
                <c:pt idx="1">
                  <c:v>3.8833333333333333</c:v>
                </c:pt>
                <c:pt idx="2">
                  <c:v>4.0842105263157888</c:v>
                </c:pt>
              </c:numCache>
            </c:numRef>
          </c:val>
          <c:extLst>
            <c:ext xmlns:c16="http://schemas.microsoft.com/office/drawing/2014/chart" uri="{C3380CC4-5D6E-409C-BE32-E72D297353CC}">
              <c16:uniqueId val="{00000000-C0B2-4443-95F5-39849119EC43}"/>
            </c:ext>
          </c:extLst>
        </c:ser>
        <c:dLbls>
          <c:showLegendKey val="0"/>
          <c:showVal val="0"/>
          <c:showCatName val="0"/>
          <c:showSerName val="0"/>
          <c:showPercent val="0"/>
          <c:showBubbleSize val="0"/>
        </c:dLbls>
        <c:gapWidth val="219"/>
        <c:overlap val="-27"/>
        <c:axId val="792466511"/>
        <c:axId val="792460271"/>
      </c:barChart>
      <c:catAx>
        <c:axId val="792466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92460271"/>
        <c:crosses val="autoZero"/>
        <c:auto val="1"/>
        <c:lblAlgn val="ctr"/>
        <c:lblOffset val="100"/>
        <c:noMultiLvlLbl val="0"/>
      </c:catAx>
      <c:valAx>
        <c:axId val="7924602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92466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[jumia-product-performance-dashboard.xlsx]Pivot Tables!Engagement by Discount</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Engagement by Discount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Tables'!$C$32</c:f>
              <c:strCache>
                <c:ptCount val="1"/>
                <c:pt idx="0">
                  <c:v>Total</c:v>
                </c:pt>
              </c:strCache>
            </c:strRef>
          </c:tx>
          <c:spPr>
            <a:solidFill>
              <a:schemeClr val="accent2"/>
            </a:solidFill>
            <a:ln>
              <a:noFill/>
            </a:ln>
            <a:effectLst/>
          </c:spPr>
          <c:invertIfNegative val="0"/>
          <c:cat>
            <c:strRef>
              <c:f>'Pivot Tables'!$B$33:$B$36</c:f>
              <c:strCache>
                <c:ptCount val="3"/>
                <c:pt idx="0">
                  <c:v>Medium Discount</c:v>
                </c:pt>
                <c:pt idx="1">
                  <c:v>High Discount</c:v>
                </c:pt>
                <c:pt idx="2">
                  <c:v>Low Discount</c:v>
                </c:pt>
              </c:strCache>
            </c:strRef>
          </c:cat>
          <c:val>
            <c:numRef>
              <c:f>'Pivot Tables'!$C$33:$C$36</c:f>
              <c:numCache>
                <c:formatCode>General</c:formatCode>
                <c:ptCount val="3"/>
                <c:pt idx="0">
                  <c:v>351</c:v>
                </c:pt>
                <c:pt idx="1">
                  <c:v>334</c:v>
                </c:pt>
                <c:pt idx="2">
                  <c:v>38</c:v>
                </c:pt>
              </c:numCache>
            </c:numRef>
          </c:val>
          <c:extLst>
            <c:ext xmlns:c16="http://schemas.microsoft.com/office/drawing/2014/chart" uri="{C3380CC4-5D6E-409C-BE32-E72D297353CC}">
              <c16:uniqueId val="{00000000-A60F-46A5-B113-1C4969FAF693}"/>
            </c:ext>
          </c:extLst>
        </c:ser>
        <c:dLbls>
          <c:showLegendKey val="0"/>
          <c:showVal val="0"/>
          <c:showCatName val="0"/>
          <c:showSerName val="0"/>
          <c:showPercent val="0"/>
          <c:showBubbleSize val="0"/>
        </c:dLbls>
        <c:gapWidth val="219"/>
        <c:overlap val="-27"/>
        <c:axId val="792469391"/>
        <c:axId val="792466991"/>
      </c:barChart>
      <c:catAx>
        <c:axId val="792469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92466991"/>
        <c:crosses val="autoZero"/>
        <c:auto val="1"/>
        <c:lblAlgn val="ctr"/>
        <c:lblOffset val="100"/>
        <c:noMultiLvlLbl val="0"/>
      </c:catAx>
      <c:valAx>
        <c:axId val="792466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92469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[jumia-product-performance-dashboard.xlsx]Pivot Tables!Top Products by Rating</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 Products by Rating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Tables'!$C$14</c:f>
              <c:strCache>
                <c:ptCount val="1"/>
                <c:pt idx="0">
                  <c:v>Total</c:v>
                </c:pt>
              </c:strCache>
            </c:strRef>
          </c:tx>
          <c:spPr>
            <a:solidFill>
              <a:schemeClr val="accent2"/>
            </a:solidFill>
            <a:ln>
              <a:noFill/>
            </a:ln>
            <a:effectLst/>
          </c:spPr>
          <c:invertIfNegative val="0"/>
          <c:cat>
            <c:strRef>
              <c:f>'Pivot Tables'!$B$15:$B$25</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'Pivot Tables'!$C$15:$C$25</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6385-474D-8062-2B5F3686608C}"/>
            </c:ext>
          </c:extLst>
        </c:ser>
        <c:dLbls>
          <c:showLegendKey val="0"/>
          <c:showVal val="0"/>
          <c:showCatName val="0"/>
          <c:showSerName val="0"/>
          <c:showPercent val="0"/>
          <c:showBubbleSize val="0"/>
        </c:dLbls>
        <c:gapWidth val="182"/>
        <c:axId val="792471791"/>
        <c:axId val="792467471"/>
      </c:barChart>
      <c:catAx>
        <c:axId val="7924717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92467471"/>
        <c:crosses val="autoZero"/>
        <c:auto val="1"/>
        <c:lblAlgn val="ctr"/>
        <c:lblOffset val="100"/>
        <c:noMultiLvlLbl val="0"/>
      </c:catAx>
      <c:valAx>
        <c:axId val="7924674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9247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[jumia-product-performance-dashboard.xlsx]Pivot Tables!Top Products by Reviews</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 Products by Reviews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Tables'!$F$14</c:f>
              <c:strCache>
                <c:ptCount val="1"/>
                <c:pt idx="0">
                  <c:v>Total</c:v>
                </c:pt>
              </c:strCache>
            </c:strRef>
          </c:tx>
          <c:spPr>
            <a:solidFill>
              <a:schemeClr val="accent2"/>
            </a:solidFill>
            <a:ln>
              <a:noFill/>
            </a:ln>
            <a:effectLst/>
          </c:spPr>
          <c:invertIfNegative val="0"/>
          <c:cat>
            <c:strRef>
              <c:f>'Pivot Tables'!$E$15:$E$25</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52 Pieces Cake Decorating Tool Set Gift Kit Baking Supplies</c:v>
                </c:pt>
                <c:pt idx="9">
                  <c:v>53Pcs/Set Yarn Knitting Crochet Hooks With Bag - Fortune Cat</c:v>
                </c:pt>
              </c:strCache>
            </c:strRef>
          </c:cat>
          <c:val>
            <c:numRef>
              <c:f>'Pivot Tables'!$F$15:$F$25</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ED69-4C52-A81F-332D49536D37}"/>
            </c:ext>
          </c:extLst>
        </c:ser>
        <c:dLbls>
          <c:showLegendKey val="0"/>
          <c:showVal val="0"/>
          <c:showCatName val="0"/>
          <c:showSerName val="0"/>
          <c:showPercent val="0"/>
          <c:showBubbleSize val="0"/>
        </c:dLbls>
        <c:gapWidth val="182"/>
        <c:axId val="757084191"/>
        <c:axId val="757086591"/>
      </c:barChart>
      <c:catAx>
        <c:axId val="7570841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7086591"/>
        <c:crosses val="autoZero"/>
        <c:auto val="1"/>
        <c:lblAlgn val="ctr"/>
        <c:lblOffset val="100"/>
        <c:noMultiLvlLbl val="0"/>
      </c:catAx>
      <c:valAx>
        <c:axId val="7570865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Reviews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7084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[jumia-product-performance-dashboard.xlsx]Pivot Tables!Top Products by Discount</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 Products by Discount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Tables'!$F$31</c:f>
              <c:strCache>
                <c:ptCount val="1"/>
                <c:pt idx="0">
                  <c:v>Total</c:v>
                </c:pt>
              </c:strCache>
            </c:strRef>
          </c:tx>
          <c:spPr>
            <a:solidFill>
              <a:schemeClr val="accent2"/>
            </a:solidFill>
            <a:ln>
              <a:noFill/>
            </a:ln>
            <a:effectLst/>
          </c:spPr>
          <c:invertIfNegative val="0"/>
          <c:cat>
            <c:strRef>
              <c:f>'Pivot Tables'!$E$32:$E$42</c:f>
              <c:strCache>
                <c:ptCount val="10"/>
                <c:pt idx="0">
                  <c:v>6 In 1 Bottle Can Opener Multifunctional Easy Opener</c:v>
                </c:pt>
                <c:pt idx="1">
                  <c:v>LASA FOLDING TABLE SERVING STAND</c:v>
                </c:pt>
                <c:pt idx="2">
                  <c:v>5-PCS Stainless Steel Cooking Pot Set With Steamed Slices</c:v>
                </c:pt>
                <c:pt idx="3">
                  <c:v>Creative Owl Shape Keychain Black</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Exfoliate And Exfoliate Face Towel - Black</c:v>
                </c:pt>
                <c:pt idx="9">
                  <c:v>Intelligent LED Body Sensor Wireless Lighting Night Light USB</c:v>
                </c:pt>
              </c:strCache>
            </c:strRef>
          </c:cat>
          <c:val>
            <c:numRef>
              <c:f>'Pivot Tables'!$F$32:$F$42</c:f>
              <c:numCache>
                <c:formatCode>0%</c:formatCode>
                <c:ptCount val="10"/>
                <c:pt idx="0">
                  <c:v>0.64</c:v>
                </c:pt>
                <c:pt idx="1">
                  <c:v>0.55000000000000004</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CF6F-49C6-BCB7-59C20F4F258D}"/>
            </c:ext>
          </c:extLst>
        </c:ser>
        <c:dLbls>
          <c:showLegendKey val="0"/>
          <c:showVal val="0"/>
          <c:showCatName val="0"/>
          <c:showSerName val="0"/>
          <c:showPercent val="0"/>
          <c:showBubbleSize val="0"/>
        </c:dLbls>
        <c:gapWidth val="182"/>
        <c:axId val="757092831"/>
        <c:axId val="757088031"/>
      </c:barChart>
      <c:catAx>
        <c:axId val="7570928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7088031"/>
        <c:crosses val="autoZero"/>
        <c:auto val="1"/>
        <c:lblAlgn val="ctr"/>
        <c:lblOffset val="100"/>
        <c:noMultiLvlLbl val="0"/>
      </c:catAx>
      <c:valAx>
        <c:axId val="7570880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709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Discount vs Reviews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KE"/>
        </a:p>
      </c:txPr>
    </c:title>
    <c:autoTitleDeleted val="0"/>
    <c:plotArea>
      <c:layout/>
      <c:scatterChart>
        <c:scatterStyle val="lineMarker"/>
        <c:varyColors val="0"/>
        <c:ser>
          <c:idx val="0"/>
          <c:order val="0"/>
          <c:spPr>
            <a:ln w="38100" cap="rnd">
              <a:noFill/>
              <a:round/>
            </a:ln>
            <a:effectLst/>
          </c:spPr>
          <c:marker>
            <c:symbol val="circle"/>
            <c:size val="5"/>
            <c:spPr>
              <a:solidFill>
                <a:schemeClr val="accent2"/>
              </a:solidFill>
              <a:ln w="9525">
                <a:solidFill>
                  <a:schemeClr val="accent2"/>
                </a:solidFill>
              </a:ln>
              <a:effectLst/>
            </c:spPr>
          </c:marker>
          <c:trendline>
            <c:spPr>
              <a:ln w="25400" cap="rnd">
                <a:solidFill>
                  <a:schemeClr val="accent2"/>
                </a:solidFill>
                <a:prstDash val="sysDot"/>
              </a:ln>
              <a:effectLst/>
            </c:spPr>
            <c:trendlineType val="linear"/>
            <c:dispRSqr val="1"/>
            <c:dispEq val="1"/>
            <c:trendlineLbl>
              <c:layout>
                <c:manualLayout>
                  <c:x val="3.6941382327209102E-2"/>
                  <c:y val="-0.1884569116360455"/>
                </c:manualLayout>
              </c:layout>
              <c:numFmt formatCode="General"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rendlineLbl>
          </c:trendline>
          <c:trendline>
            <c:spPr>
              <a:ln w="19050" cap="rnd">
                <a:solidFill>
                  <a:schemeClr val="tx1"/>
                </a:solidFill>
                <a:prstDash val="sysDot"/>
              </a:ln>
              <a:effectLst/>
            </c:spPr>
            <c:trendlineType val="linear"/>
            <c:dispRSqr val="0"/>
            <c:dispEq val="0"/>
          </c:trendline>
          <c:xVal>
            <c:numRef>
              <c:f>'Cleaned Data'!$F$2:$F$113</c:f>
              <c:numCache>
                <c:formatCode>0%</c:formatCode>
                <c:ptCount val="112"/>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0.13</c:v>
                </c:pt>
                <c:pt idx="60">
                  <c:v>0.54</c:v>
                </c:pt>
                <c:pt idx="61">
                  <c:v>0.55000000000000004</c:v>
                </c:pt>
                <c:pt idx="62">
                  <c:v>0.49</c:v>
                </c:pt>
                <c:pt idx="63">
                  <c:v>0.52</c:v>
                </c:pt>
                <c:pt idx="64">
                  <c:v>0.22</c:v>
                </c:pt>
                <c:pt idx="65">
                  <c:v>0.45</c:v>
                </c:pt>
                <c:pt idx="66">
                  <c:v>0.5</c:v>
                </c:pt>
                <c:pt idx="67">
                  <c:v>0.39</c:v>
                </c:pt>
                <c:pt idx="68">
                  <c:v>0.45</c:v>
                </c:pt>
                <c:pt idx="69">
                  <c:v>0.28999999999999998</c:v>
                </c:pt>
                <c:pt idx="70">
                  <c:v>0.43</c:v>
                </c:pt>
                <c:pt idx="71">
                  <c:v>0.43</c:v>
                </c:pt>
                <c:pt idx="72">
                  <c:v>0.47</c:v>
                </c:pt>
                <c:pt idx="73">
                  <c:v>0.47</c:v>
                </c:pt>
                <c:pt idx="74">
                  <c:v>0.47</c:v>
                </c:pt>
                <c:pt idx="75">
                  <c:v>0.43</c:v>
                </c:pt>
                <c:pt idx="76">
                  <c:v>0.04</c:v>
                </c:pt>
                <c:pt idx="77">
                  <c:v>0.49</c:v>
                </c:pt>
                <c:pt idx="78">
                  <c:v>0.46</c:v>
                </c:pt>
                <c:pt idx="79">
                  <c:v>0.49</c:v>
                </c:pt>
                <c:pt idx="80">
                  <c:v>0.36</c:v>
                </c:pt>
                <c:pt idx="81">
                  <c:v>0.02</c:v>
                </c:pt>
                <c:pt idx="82">
                  <c:v>0.49</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0.21</c:v>
                </c:pt>
                <c:pt idx="102">
                  <c:v>0.41</c:v>
                </c:pt>
                <c:pt idx="103">
                  <c:v>0.01</c:v>
                </c:pt>
                <c:pt idx="104">
                  <c:v>0.24</c:v>
                </c:pt>
                <c:pt idx="105">
                  <c:v>0.34</c:v>
                </c:pt>
                <c:pt idx="106">
                  <c:v>0.34</c:v>
                </c:pt>
                <c:pt idx="107">
                  <c:v>0.02</c:v>
                </c:pt>
                <c:pt idx="108">
                  <c:v>0.02</c:v>
                </c:pt>
                <c:pt idx="109">
                  <c:v>0.64</c:v>
                </c:pt>
                <c:pt idx="110">
                  <c:v>0.5</c:v>
                </c:pt>
                <c:pt idx="111">
                  <c:v>0.47</c:v>
                </c:pt>
              </c:numCache>
            </c:numRef>
          </c:xVal>
          <c:yVal>
            <c:numRef>
              <c:f>'Cleaned Data'!$H$2:$H$113</c:f>
              <c:numCache>
                <c:formatCode>0</c:formatCod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0</c:v>
                </c:pt>
                <c:pt idx="75">
                  <c:v>0</c:v>
                </c:pt>
                <c:pt idx="76">
                  <c:v>0</c:v>
                </c:pt>
                <c:pt idx="77">
                  <c:v>0</c:v>
                </c:pt>
                <c:pt idx="78">
                  <c:v>1</c:v>
                </c:pt>
                <c:pt idx="79">
                  <c:v>1</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1</c:v>
                </c:pt>
                <c:pt idx="111">
                  <c:v>0</c:v>
                </c:pt>
              </c:numCache>
            </c:numRef>
          </c:yVal>
          <c:smooth val="0"/>
          <c:extLst>
            <c:ext xmlns:c16="http://schemas.microsoft.com/office/drawing/2014/chart" uri="{C3380CC4-5D6E-409C-BE32-E72D297353CC}">
              <c16:uniqueId val="{00000002-A8FD-4D73-BDDC-7F780A5CA621}"/>
            </c:ext>
          </c:extLst>
        </c:ser>
        <c:dLbls>
          <c:showLegendKey val="0"/>
          <c:showVal val="0"/>
          <c:showCatName val="0"/>
          <c:showSerName val="0"/>
          <c:showPercent val="0"/>
          <c:showBubbleSize val="0"/>
        </c:dLbls>
        <c:axId val="224138176"/>
        <c:axId val="224140576"/>
      </c:scatterChart>
      <c:valAx>
        <c:axId val="224138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24140576"/>
        <c:crosses val="autoZero"/>
        <c:crossBetween val="midCat"/>
      </c:valAx>
      <c:valAx>
        <c:axId val="224140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241381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Rating vs Reviews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KE"/>
        </a:p>
      </c:txPr>
    </c:title>
    <c:autoTitleDeleted val="0"/>
    <c:plotArea>
      <c:layout/>
      <c:scatterChart>
        <c:scatterStyle val="lineMarker"/>
        <c:varyColors val="0"/>
        <c:ser>
          <c:idx val="0"/>
          <c:order val="0"/>
          <c:spPr>
            <a:ln w="38100" cap="rnd">
              <a:noFill/>
              <a:round/>
            </a:ln>
            <a:effectLst/>
          </c:spPr>
          <c:marker>
            <c:symbol val="circle"/>
            <c:size val="5"/>
            <c:spPr>
              <a:solidFill>
                <a:schemeClr val="accent2"/>
              </a:solidFill>
              <a:ln w="9525">
                <a:solidFill>
                  <a:schemeClr val="accent2"/>
                </a:solidFill>
              </a:ln>
              <a:effectLst/>
            </c:spPr>
          </c:marker>
          <c:trendline>
            <c:spPr>
              <a:ln w="25400" cap="rnd">
                <a:solidFill>
                  <a:schemeClr val="tx1"/>
                </a:solidFill>
                <a:prstDash val="sysDot"/>
              </a:ln>
              <a:effectLst/>
            </c:spPr>
            <c:trendlineType val="linear"/>
            <c:dispRSqr val="1"/>
            <c:dispEq val="1"/>
            <c:trendlineLbl>
              <c:layout>
                <c:manualLayout>
                  <c:x val="5.0328083989501313E-3"/>
                  <c:y val="3.4394502770487022E-2"/>
                </c:manualLayout>
              </c:layout>
              <c:numFmt formatCode="General" sourceLinked="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KE"/>
                </a:p>
              </c:txPr>
            </c:trendlineLbl>
          </c:trendline>
          <c:xVal>
            <c:strRef>
              <c:f>'Cleaned Data'!$H$2:$H$113</c:f>
              <c:strCache>
                <c:ptCount val="111"/>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38">
                  <c:v>2</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8">
                  <c:v>1</c:v>
                </c:pt>
                <c:pt idx="79">
                  <c:v>1</c:v>
                </c:pt>
                <c:pt idx="82">
                  <c:v>1</c:v>
                </c:pt>
                <c:pt idx="101">
                  <c:v>1</c:v>
                </c:pt>
                <c:pt idx="110">
                  <c:v>1</c:v>
                </c:pt>
              </c:strCache>
            </c:strRef>
          </c:xVal>
          <c:yVal>
            <c:numRef>
              <c:f>'Cleaned Data'!$I$2:$I$113</c:f>
              <c:numCache>
                <c:formatCode>0.0</c:formatCode>
                <c:ptCount val="112"/>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2">
                  <c:v>4</c:v>
                </c:pt>
                <c:pt idx="23">
                  <c:v>4.4000000000000004</c:v>
                </c:pt>
                <c:pt idx="24">
                  <c:v>4.3</c:v>
                </c:pt>
                <c:pt idx="25">
                  <c:v>4.5999999999999996</c:v>
                </c:pt>
                <c:pt idx="26">
                  <c:v>3.8</c:v>
                </c:pt>
                <c:pt idx="27">
                  <c:v>3.8</c:v>
                </c:pt>
                <c:pt idx="28">
                  <c:v>4.0999999999999996</c:v>
                </c:pt>
                <c:pt idx="30">
                  <c:v>4.3</c:v>
                </c:pt>
                <c:pt idx="31">
                  <c:v>4.7</c:v>
                </c:pt>
                <c:pt idx="32">
                  <c:v>4.3</c:v>
                </c:pt>
                <c:pt idx="33">
                  <c:v>4.7</c:v>
                </c:pt>
                <c:pt idx="34">
                  <c:v>4.5</c:v>
                </c:pt>
                <c:pt idx="35">
                  <c:v>5</c:v>
                </c:pt>
                <c:pt idx="36">
                  <c:v>5</c:v>
                </c:pt>
                <c:pt idx="37">
                  <c:v>4.3</c:v>
                </c:pt>
                <c:pt idx="38">
                  <c:v>4.5</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8">
                  <c:v>3</c:v>
                </c:pt>
                <c:pt idx="79">
                  <c:v>5</c:v>
                </c:pt>
                <c:pt idx="82">
                  <c:v>4</c:v>
                </c:pt>
                <c:pt idx="101">
                  <c:v>5</c:v>
                </c:pt>
                <c:pt idx="110">
                  <c:v>2</c:v>
                </c:pt>
              </c:numCache>
            </c:numRef>
          </c:yVal>
          <c:smooth val="0"/>
          <c:extLst>
            <c:ext xmlns:c16="http://schemas.microsoft.com/office/drawing/2014/chart" uri="{C3380CC4-5D6E-409C-BE32-E72D297353CC}">
              <c16:uniqueId val="{00000001-A807-48F2-95BB-CC48CF5D07B8}"/>
            </c:ext>
          </c:extLst>
        </c:ser>
        <c:dLbls>
          <c:showLegendKey val="0"/>
          <c:showVal val="0"/>
          <c:showCatName val="0"/>
          <c:showSerName val="0"/>
          <c:showPercent val="0"/>
          <c:showBubbleSize val="0"/>
        </c:dLbls>
        <c:axId val="601140144"/>
        <c:axId val="601138704"/>
      </c:scatterChart>
      <c:valAx>
        <c:axId val="6011401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1138704"/>
        <c:crosses val="autoZero"/>
        <c:crossBetween val="midCat"/>
      </c:valAx>
      <c:valAx>
        <c:axId val="601138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11401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Current Prices vs Rating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KE"/>
        </a:p>
      </c:txPr>
    </c:title>
    <c:autoTitleDeleted val="0"/>
    <c:plotArea>
      <c:layout/>
      <c:scatterChart>
        <c:scatterStyle val="lineMarker"/>
        <c:varyColors val="0"/>
        <c:ser>
          <c:idx val="0"/>
          <c:order val="0"/>
          <c:spPr>
            <a:ln w="381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trendline>
            <c:spPr>
              <a:ln w="25400" cap="rnd">
                <a:solidFill>
                  <a:schemeClr val="tx1"/>
                </a:solidFill>
                <a:prstDash val="sysDot"/>
              </a:ln>
              <a:effectLst/>
            </c:spPr>
            <c:trendlineType val="linear"/>
            <c:dispRSqr val="1"/>
            <c:dispEq val="1"/>
            <c:trendlineLbl>
              <c:layout>
                <c:manualLayout>
                  <c:x val="2.5360892388451442E-3"/>
                  <c:y val="0.15767752989209682"/>
                </c:manualLayout>
              </c:layout>
              <c:numFmt formatCode="General" sourceLinked="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KE"/>
                </a:p>
              </c:txPr>
            </c:trendlineLbl>
          </c:trendline>
          <c:xVal>
            <c:numRef>
              <c:f>'Cleaned Data'!$B$2:$B$113</c:f>
              <c:numCache>
                <c:formatCode>"Ksh"#,##0.00</c:formatCode>
                <c:ptCount val="112"/>
                <c:pt idx="0">
                  <c:v>950</c:v>
                </c:pt>
                <c:pt idx="1">
                  <c:v>527</c:v>
                </c:pt>
                <c:pt idx="2">
                  <c:v>2199</c:v>
                </c:pt>
                <c:pt idx="3">
                  <c:v>1580</c:v>
                </c:pt>
                <c:pt idx="4">
                  <c:v>1740</c:v>
                </c:pt>
                <c:pt idx="5">
                  <c:v>2999</c:v>
                </c:pt>
                <c:pt idx="6">
                  <c:v>2319</c:v>
                </c:pt>
                <c:pt idx="7">
                  <c:v>988</c:v>
                </c:pt>
                <c:pt idx="8">
                  <c:v>1274</c:v>
                </c:pt>
                <c:pt idx="9">
                  <c:v>1600</c:v>
                </c:pt>
                <c:pt idx="10">
                  <c:v>799</c:v>
                </c:pt>
                <c:pt idx="11">
                  <c:v>990</c:v>
                </c:pt>
                <c:pt idx="12">
                  <c:v>552</c:v>
                </c:pt>
                <c:pt idx="13">
                  <c:v>501</c:v>
                </c:pt>
                <c:pt idx="14">
                  <c:v>1680</c:v>
                </c:pt>
                <c:pt idx="15">
                  <c:v>332</c:v>
                </c:pt>
                <c:pt idx="16">
                  <c:v>195</c:v>
                </c:pt>
                <c:pt idx="17">
                  <c:v>2025</c:v>
                </c:pt>
                <c:pt idx="18">
                  <c:v>2999</c:v>
                </c:pt>
                <c:pt idx="19">
                  <c:v>998</c:v>
                </c:pt>
                <c:pt idx="20">
                  <c:v>38</c:v>
                </c:pt>
                <c:pt idx="21">
                  <c:v>1860</c:v>
                </c:pt>
                <c:pt idx="22">
                  <c:v>880</c:v>
                </c:pt>
                <c:pt idx="23">
                  <c:v>1650</c:v>
                </c:pt>
                <c:pt idx="24">
                  <c:v>2048</c:v>
                </c:pt>
                <c:pt idx="25">
                  <c:v>420</c:v>
                </c:pt>
                <c:pt idx="26">
                  <c:v>2880</c:v>
                </c:pt>
                <c:pt idx="27">
                  <c:v>1350</c:v>
                </c:pt>
                <c:pt idx="28">
                  <c:v>1758</c:v>
                </c:pt>
                <c:pt idx="29">
                  <c:v>2200</c:v>
                </c:pt>
                <c:pt idx="30">
                  <c:v>185</c:v>
                </c:pt>
                <c:pt idx="31">
                  <c:v>980</c:v>
                </c:pt>
                <c:pt idx="32">
                  <c:v>1820</c:v>
                </c:pt>
                <c:pt idx="33">
                  <c:v>1940</c:v>
                </c:pt>
                <c:pt idx="34">
                  <c:v>1980</c:v>
                </c:pt>
                <c:pt idx="35">
                  <c:v>1620</c:v>
                </c:pt>
                <c:pt idx="36">
                  <c:v>171</c:v>
                </c:pt>
                <c:pt idx="37">
                  <c:v>389</c:v>
                </c:pt>
                <c:pt idx="38">
                  <c:v>1800</c:v>
                </c:pt>
                <c:pt idx="39">
                  <c:v>2750</c:v>
                </c:pt>
                <c:pt idx="40">
                  <c:v>475</c:v>
                </c:pt>
                <c:pt idx="41">
                  <c:v>238</c:v>
                </c:pt>
                <c:pt idx="42">
                  <c:v>610</c:v>
                </c:pt>
                <c:pt idx="43">
                  <c:v>2132</c:v>
                </c:pt>
                <c:pt idx="44">
                  <c:v>999</c:v>
                </c:pt>
                <c:pt idx="45">
                  <c:v>1190</c:v>
                </c:pt>
                <c:pt idx="46">
                  <c:v>671</c:v>
                </c:pt>
                <c:pt idx="47">
                  <c:v>1200</c:v>
                </c:pt>
                <c:pt idx="48">
                  <c:v>199</c:v>
                </c:pt>
                <c:pt idx="49">
                  <c:v>299</c:v>
                </c:pt>
                <c:pt idx="50">
                  <c:v>1660</c:v>
                </c:pt>
                <c:pt idx="51">
                  <c:v>299</c:v>
                </c:pt>
                <c:pt idx="52">
                  <c:v>1459</c:v>
                </c:pt>
                <c:pt idx="53">
                  <c:v>799</c:v>
                </c:pt>
                <c:pt idx="54">
                  <c:v>499</c:v>
                </c:pt>
                <c:pt idx="55">
                  <c:v>699</c:v>
                </c:pt>
                <c:pt idx="56">
                  <c:v>799</c:v>
                </c:pt>
                <c:pt idx="57">
                  <c:v>2799</c:v>
                </c:pt>
                <c:pt idx="58">
                  <c:v>399</c:v>
                </c:pt>
                <c:pt idx="59">
                  <c:v>2170</c:v>
                </c:pt>
                <c:pt idx="60">
                  <c:v>458</c:v>
                </c:pt>
                <c:pt idx="61">
                  <c:v>2115</c:v>
                </c:pt>
                <c:pt idx="62">
                  <c:v>445</c:v>
                </c:pt>
                <c:pt idx="63">
                  <c:v>325</c:v>
                </c:pt>
                <c:pt idx="64">
                  <c:v>1220</c:v>
                </c:pt>
                <c:pt idx="65">
                  <c:v>990</c:v>
                </c:pt>
                <c:pt idx="66">
                  <c:v>1000</c:v>
                </c:pt>
                <c:pt idx="67">
                  <c:v>3750</c:v>
                </c:pt>
                <c:pt idx="68">
                  <c:v>382</c:v>
                </c:pt>
                <c:pt idx="69">
                  <c:v>2300</c:v>
                </c:pt>
                <c:pt idx="70">
                  <c:v>345</c:v>
                </c:pt>
                <c:pt idx="71">
                  <c:v>509</c:v>
                </c:pt>
                <c:pt idx="72">
                  <c:v>968</c:v>
                </c:pt>
                <c:pt idx="73">
                  <c:v>1570</c:v>
                </c:pt>
                <c:pt idx="74">
                  <c:v>790</c:v>
                </c:pt>
                <c:pt idx="75">
                  <c:v>690</c:v>
                </c:pt>
                <c:pt idx="76">
                  <c:v>1732</c:v>
                </c:pt>
                <c:pt idx="77">
                  <c:v>230</c:v>
                </c:pt>
                <c:pt idx="78">
                  <c:v>1189</c:v>
                </c:pt>
                <c:pt idx="79">
                  <c:v>979</c:v>
                </c:pt>
                <c:pt idx="80">
                  <c:v>1460</c:v>
                </c:pt>
                <c:pt idx="81">
                  <c:v>1666</c:v>
                </c:pt>
                <c:pt idx="82">
                  <c:v>330</c:v>
                </c:pt>
                <c:pt idx="83">
                  <c:v>176</c:v>
                </c:pt>
                <c:pt idx="84">
                  <c:v>1466</c:v>
                </c:pt>
                <c:pt idx="85">
                  <c:v>274</c:v>
                </c:pt>
                <c:pt idx="86">
                  <c:v>799</c:v>
                </c:pt>
                <c:pt idx="87">
                  <c:v>657</c:v>
                </c:pt>
                <c:pt idx="88">
                  <c:v>1468</c:v>
                </c:pt>
                <c:pt idx="89">
                  <c:v>630</c:v>
                </c:pt>
                <c:pt idx="90">
                  <c:v>850</c:v>
                </c:pt>
                <c:pt idx="91">
                  <c:v>1300</c:v>
                </c:pt>
                <c:pt idx="92">
                  <c:v>105</c:v>
                </c:pt>
                <c:pt idx="93">
                  <c:v>899</c:v>
                </c:pt>
                <c:pt idx="94">
                  <c:v>1200</c:v>
                </c:pt>
                <c:pt idx="95">
                  <c:v>1526</c:v>
                </c:pt>
                <c:pt idx="96">
                  <c:v>1462</c:v>
                </c:pt>
                <c:pt idx="97">
                  <c:v>248</c:v>
                </c:pt>
                <c:pt idx="98">
                  <c:v>3546</c:v>
                </c:pt>
                <c:pt idx="99">
                  <c:v>525</c:v>
                </c:pt>
                <c:pt idx="100">
                  <c:v>1080</c:v>
                </c:pt>
                <c:pt idx="101">
                  <c:v>3640</c:v>
                </c:pt>
                <c:pt idx="102">
                  <c:v>1420</c:v>
                </c:pt>
                <c:pt idx="103">
                  <c:v>1875</c:v>
                </c:pt>
                <c:pt idx="104">
                  <c:v>198</c:v>
                </c:pt>
                <c:pt idx="105">
                  <c:v>1150</c:v>
                </c:pt>
                <c:pt idx="106">
                  <c:v>1190</c:v>
                </c:pt>
                <c:pt idx="107">
                  <c:v>1658</c:v>
                </c:pt>
                <c:pt idx="108">
                  <c:v>1768</c:v>
                </c:pt>
                <c:pt idx="109">
                  <c:v>199</c:v>
                </c:pt>
                <c:pt idx="110">
                  <c:v>450</c:v>
                </c:pt>
                <c:pt idx="111">
                  <c:v>169</c:v>
                </c:pt>
              </c:numCache>
            </c:numRef>
          </c:xVal>
          <c:yVal>
            <c:numRef>
              <c:f>'Cleaned Data'!$I$2:$I$113</c:f>
              <c:numCache>
                <c:formatCode>0.0</c:formatCode>
                <c:ptCount val="112"/>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2">
                  <c:v>4</c:v>
                </c:pt>
                <c:pt idx="23">
                  <c:v>4.4000000000000004</c:v>
                </c:pt>
                <c:pt idx="24">
                  <c:v>4.3</c:v>
                </c:pt>
                <c:pt idx="25">
                  <c:v>4.5999999999999996</c:v>
                </c:pt>
                <c:pt idx="26">
                  <c:v>3.8</c:v>
                </c:pt>
                <c:pt idx="27">
                  <c:v>3.8</c:v>
                </c:pt>
                <c:pt idx="28">
                  <c:v>4.0999999999999996</c:v>
                </c:pt>
                <c:pt idx="30">
                  <c:v>4.3</c:v>
                </c:pt>
                <c:pt idx="31">
                  <c:v>4.7</c:v>
                </c:pt>
                <c:pt idx="32">
                  <c:v>4.3</c:v>
                </c:pt>
                <c:pt idx="33">
                  <c:v>4.7</c:v>
                </c:pt>
                <c:pt idx="34">
                  <c:v>4.5</c:v>
                </c:pt>
                <c:pt idx="35">
                  <c:v>5</c:v>
                </c:pt>
                <c:pt idx="36">
                  <c:v>5</c:v>
                </c:pt>
                <c:pt idx="37">
                  <c:v>4.3</c:v>
                </c:pt>
                <c:pt idx="38">
                  <c:v>4.5</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8">
                  <c:v>3</c:v>
                </c:pt>
                <c:pt idx="79">
                  <c:v>5</c:v>
                </c:pt>
                <c:pt idx="82">
                  <c:v>4</c:v>
                </c:pt>
                <c:pt idx="101">
                  <c:v>5</c:v>
                </c:pt>
                <c:pt idx="110">
                  <c:v>2</c:v>
                </c:pt>
              </c:numCache>
            </c:numRef>
          </c:yVal>
          <c:smooth val="0"/>
          <c:extLst>
            <c:ext xmlns:c16="http://schemas.microsoft.com/office/drawing/2014/chart" uri="{C3380CC4-5D6E-409C-BE32-E72D297353CC}">
              <c16:uniqueId val="{00000002-79E6-4DD4-ACDC-37AAAFCAF57B}"/>
            </c:ext>
          </c:extLst>
        </c:ser>
        <c:dLbls>
          <c:showLegendKey val="0"/>
          <c:showVal val="0"/>
          <c:showCatName val="0"/>
          <c:showSerName val="0"/>
          <c:showPercent val="0"/>
          <c:showBubbleSize val="0"/>
        </c:dLbls>
        <c:axId val="544034128"/>
        <c:axId val="544037968"/>
      </c:scatterChart>
      <c:valAx>
        <c:axId val="5440341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Current Prices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quot;Ksh&quot;#,##0.00" sourceLinked="1"/>
        <c:majorTickMark val="none"/>
        <c:minorTickMark val="none"/>
        <c:tickLblPos val="nextTo"/>
        <c:spPr>
          <a:noFill/>
          <a:ln w="9525" cap="flat" cmpd="sng" algn="ctr">
            <a:solidFill>
              <a:schemeClr val="tx1">
                <a:lumMod val="25000"/>
                <a:lumOff val="75000"/>
              </a:schemeClr>
            </a:solidFill>
            <a:round/>
          </a:ln>
          <a:effectLst/>
        </c:spPr>
        <c:txPr>
          <a:bodyPr rot="-270000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KE"/>
          </a:p>
        </c:txPr>
        <c:crossAx val="544037968"/>
        <c:crosses val="autoZero"/>
        <c:crossBetween val="midCat"/>
      </c:valAx>
      <c:valAx>
        <c:axId val="544037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40341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Product</a:t>
            </a:r>
            <a:r>
              <a:rPr lang="en-US" b="1" baseline="0">
                <a:solidFill>
                  <a:schemeClr val="tx1"/>
                </a:solidFill>
              </a:rPr>
              <a:t> Count per Rating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KE"/>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tint val="54000"/>
            </a:schemeClr>
          </a:solidFill>
          <a:ln w="19050">
            <a:solidFill>
              <a:schemeClr val="lt1"/>
            </a:solidFill>
          </a:ln>
          <a:effectLst/>
        </c:spPr>
      </c:pivotFmt>
      <c:pivotFmt>
        <c:idx val="2"/>
        <c:spPr>
          <a:solidFill>
            <a:schemeClr val="accent2">
              <a:tint val="77000"/>
            </a:schemeClr>
          </a:solidFill>
          <a:ln w="19050">
            <a:solidFill>
              <a:schemeClr val="lt1"/>
            </a:solidFill>
          </a:ln>
          <a:effectLst/>
        </c:spPr>
      </c:pivotFmt>
      <c:pivotFmt>
        <c:idx val="3"/>
        <c:spPr>
          <a:solidFill>
            <a:schemeClr val="accent2">
              <a:tint val="54000"/>
            </a:schemeClr>
          </a:solidFill>
          <a:ln w="19050">
            <a:solidFill>
              <a:schemeClr val="lt1"/>
            </a:solidFill>
          </a:ln>
          <a:effectLst/>
        </c:spPr>
      </c:pivotFmt>
      <c:pivotFmt>
        <c:idx val="4"/>
        <c:spPr>
          <a:solidFill>
            <a:schemeClr val="accent2">
              <a:shade val="76000"/>
            </a:schemeClr>
          </a:solidFill>
          <a:ln w="19050">
            <a:solidFill>
              <a:schemeClr val="lt1"/>
            </a:solidFill>
          </a:ln>
          <a:effectLst/>
        </c:spPr>
      </c:pivotFmt>
      <c:pivotFmt>
        <c:idx val="5"/>
        <c:spPr>
          <a:solidFill>
            <a:schemeClr val="accent2">
              <a:shade val="53000"/>
            </a:schemeClr>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tint val="54000"/>
            </a:schemeClr>
          </a:solidFill>
          <a:ln w="19050">
            <a:solidFill>
              <a:schemeClr val="lt1"/>
            </a:solidFill>
          </a:ln>
          <a:effectLst/>
        </c:spPr>
      </c:pivotFmt>
      <c:pivotFmt>
        <c:idx val="8"/>
        <c:spPr>
          <a:solidFill>
            <a:schemeClr val="accent2">
              <a:tint val="77000"/>
            </a:schemeClr>
          </a:solidFill>
          <a:ln w="19050">
            <a:solidFill>
              <a:schemeClr val="lt1"/>
            </a:solidFill>
          </a:ln>
          <a:effectLst/>
        </c:spPr>
      </c:pivotFmt>
      <c:pivotFmt>
        <c:idx val="9"/>
        <c:spPr>
          <a:solidFill>
            <a:schemeClr val="accent2">
              <a:tint val="54000"/>
            </a:schemeClr>
          </a:solidFill>
          <a:ln w="19050">
            <a:solidFill>
              <a:schemeClr val="lt1"/>
            </a:solidFill>
          </a:ln>
          <a:effectLst/>
        </c:spPr>
      </c:pivotFmt>
      <c:pivotFmt>
        <c:idx val="10"/>
        <c:spPr>
          <a:solidFill>
            <a:schemeClr val="accent2">
              <a:shade val="76000"/>
            </a:schemeClr>
          </a:solidFill>
          <a:ln w="19050">
            <a:solidFill>
              <a:schemeClr val="lt1"/>
            </a:solidFill>
          </a:ln>
          <a:effectLst/>
        </c:spPr>
      </c:pivotFmt>
      <c:pivotFmt>
        <c:idx val="11"/>
        <c:spPr>
          <a:solidFill>
            <a:schemeClr val="accent2">
              <a:shade val="53000"/>
            </a:schemeClr>
          </a:solidFill>
          <a:ln w="19050">
            <a:solidFill>
              <a:schemeClr val="lt1"/>
            </a:solidFill>
          </a:ln>
          <a:effectLst/>
        </c:spPr>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tint val="54000"/>
            </a:schemeClr>
          </a:solidFill>
          <a:ln w="19050">
            <a:solidFill>
              <a:schemeClr val="lt1"/>
            </a:solidFill>
          </a:ln>
          <a:effectLst/>
        </c:spPr>
      </c:pivotFmt>
      <c:pivotFmt>
        <c:idx val="14"/>
        <c:spPr>
          <a:solidFill>
            <a:schemeClr val="accent2">
              <a:tint val="54000"/>
            </a:schemeClr>
          </a:solidFill>
          <a:ln w="19050">
            <a:solidFill>
              <a:schemeClr val="lt1"/>
            </a:solidFill>
          </a:ln>
          <a:effectLst/>
        </c:spPr>
      </c:pivotFmt>
      <c:pivotFmt>
        <c:idx val="15"/>
        <c:spPr>
          <a:solidFill>
            <a:schemeClr val="accent2">
              <a:shade val="76000"/>
            </a:schemeClr>
          </a:solidFill>
          <a:ln w="19050">
            <a:solidFill>
              <a:schemeClr val="lt1"/>
            </a:solidFill>
          </a:ln>
          <a:effectLst/>
        </c:spPr>
      </c:pivotFmt>
      <c:pivotFmt>
        <c:idx val="16"/>
        <c:spPr>
          <a:solidFill>
            <a:schemeClr val="accent2">
              <a:tint val="77000"/>
            </a:schemeClr>
          </a:solidFill>
          <a:ln w="19050">
            <a:solidFill>
              <a:schemeClr val="lt1"/>
            </a:solidFill>
          </a:ln>
          <a:effectLst/>
        </c:spPr>
      </c:pivotFmt>
      <c:pivotFmt>
        <c:idx val="17"/>
        <c:spPr>
          <a:solidFill>
            <a:schemeClr val="accent2">
              <a:shade val="53000"/>
            </a:schemeClr>
          </a:solidFill>
          <a:ln w="19050">
            <a:solidFill>
              <a:schemeClr val="lt1"/>
            </a:solidFill>
          </a:ln>
          <a:effectLst/>
        </c:spPr>
      </c:pivotFmt>
    </c:pivotFmts>
    <c:plotArea>
      <c:layout/>
      <c:doughnutChart>
        <c:varyColors val="1"/>
        <c:ser>
          <c:idx val="0"/>
          <c:order val="0"/>
          <c:tx>
            <c:v>Series1</c:v>
          </c:tx>
          <c:dPt>
            <c:idx val="0"/>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1-B352-42BA-AACE-8A715AD740BB}"/>
              </c:ext>
            </c:extLst>
          </c:dPt>
          <c:dPt>
            <c:idx val="1"/>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3-B352-42BA-AACE-8A715AD740BB}"/>
              </c:ext>
            </c:extLst>
          </c:dPt>
          <c:dPt>
            <c:idx val="2"/>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5-B352-42BA-AACE-8A715AD740BB}"/>
              </c:ext>
            </c:extLst>
          </c:dPt>
          <c:dPt>
            <c:idx val="3"/>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7-B352-42BA-AACE-8A715AD740BB}"/>
              </c:ext>
            </c:extLst>
          </c:dPt>
          <c:dPt>
            <c:idx val="4"/>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9-B352-42BA-AACE-8A715AD740BB}"/>
              </c:ext>
            </c:extLst>
          </c:dPt>
          <c:cat>
            <c:numLit>
              <c:formatCode>General</c:formatCode>
              <c:ptCount val="5"/>
              <c:pt idx="0">
                <c:v>0</c:v>
              </c:pt>
              <c:pt idx="1">
                <c:v>0</c:v>
              </c:pt>
              <c:pt idx="2">
                <c:v>0</c:v>
              </c:pt>
              <c:pt idx="3">
                <c:v>0</c:v>
              </c:pt>
              <c:pt idx="4">
                <c:v>0</c:v>
              </c:pt>
            </c:numLit>
          </c:cat>
          <c:val>
            <c:numLit>
              <c:formatCode>General</c:formatCode>
              <c:ptCount val="5"/>
              <c:pt idx="0">
                <c:v>55</c:v>
              </c:pt>
              <c:pt idx="1">
                <c:v>23</c:v>
              </c:pt>
              <c:pt idx="2">
                <c:v>13</c:v>
              </c:pt>
              <c:pt idx="3">
                <c:v>12</c:v>
              </c:pt>
              <c:pt idx="4">
                <c:v>9</c:v>
              </c:pt>
            </c:numLit>
          </c:val>
          <c:extLst>
            <c:ext xmlns:c16="http://schemas.microsoft.com/office/drawing/2014/chart" uri="{C3380CC4-5D6E-409C-BE32-E72D297353CC}">
              <c16:uniqueId val="{0000000A-B352-42BA-AACE-8A715AD740B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[jumia-product-performance-dashboard.xlsx]Pivot Tables!Discount Mix</c:name>
    <c:fmtId val="1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Product Count per Discount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Tables'!$C$4</c:f>
              <c:strCache>
                <c:ptCount val="1"/>
                <c:pt idx="0">
                  <c:v>Total</c:v>
                </c:pt>
              </c:strCache>
            </c:strRef>
          </c:tx>
          <c:spPr>
            <a:solidFill>
              <a:schemeClr val="accent2"/>
            </a:solidFill>
            <a:ln>
              <a:noFill/>
            </a:ln>
            <a:effectLst/>
          </c:spPr>
          <c:invertIfNegative val="0"/>
          <c:cat>
            <c:strRef>
              <c:f>'Pivot Tables'!$B$5:$B$8</c:f>
              <c:strCache>
                <c:ptCount val="3"/>
                <c:pt idx="0">
                  <c:v>High Discount</c:v>
                </c:pt>
                <c:pt idx="1">
                  <c:v>Medium Discount</c:v>
                </c:pt>
                <c:pt idx="2">
                  <c:v>Low Discount</c:v>
                </c:pt>
              </c:strCache>
            </c:strRef>
          </c:cat>
          <c:val>
            <c:numRef>
              <c:f>'Pivot Tables'!$C$5:$C$8</c:f>
              <c:numCache>
                <c:formatCode>General</c:formatCode>
                <c:ptCount val="3"/>
                <c:pt idx="0">
                  <c:v>62</c:v>
                </c:pt>
                <c:pt idx="1">
                  <c:v>32</c:v>
                </c:pt>
                <c:pt idx="2">
                  <c:v>18</c:v>
                </c:pt>
              </c:numCache>
            </c:numRef>
          </c:val>
          <c:extLst>
            <c:ext xmlns:c16="http://schemas.microsoft.com/office/drawing/2014/chart" uri="{C3380CC4-5D6E-409C-BE32-E72D297353CC}">
              <c16:uniqueId val="{00000000-0690-444A-91BE-D410DCA37718}"/>
            </c:ext>
          </c:extLst>
        </c:ser>
        <c:dLbls>
          <c:showLegendKey val="0"/>
          <c:showVal val="0"/>
          <c:showCatName val="0"/>
          <c:showSerName val="0"/>
          <c:showPercent val="0"/>
          <c:showBubbleSize val="0"/>
        </c:dLbls>
        <c:gapWidth val="219"/>
        <c:overlap val="-27"/>
        <c:axId val="757089951"/>
        <c:axId val="757090911"/>
      </c:barChart>
      <c:catAx>
        <c:axId val="757089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7090911"/>
        <c:crosses val="autoZero"/>
        <c:auto val="1"/>
        <c:lblAlgn val="ctr"/>
        <c:lblOffset val="100"/>
        <c:noMultiLvlLbl val="0"/>
      </c:catAx>
      <c:valAx>
        <c:axId val="7570909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7089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[jumia-product-performance-dashboard.xlsx]Pivot Tables!Prices vs Rating</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Average Rating per Price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Tables'!$F$4</c:f>
              <c:strCache>
                <c:ptCount val="1"/>
                <c:pt idx="0">
                  <c:v>Total</c:v>
                </c:pt>
              </c:strCache>
            </c:strRef>
          </c:tx>
          <c:spPr>
            <a:solidFill>
              <a:schemeClr val="accent2"/>
            </a:solidFill>
            <a:ln>
              <a:noFill/>
            </a:ln>
            <a:effectLst/>
          </c:spPr>
          <c:invertIfNegative val="0"/>
          <c:cat>
            <c:strRef>
              <c:f>'Pivot Tables'!$E$5:$E$8</c:f>
              <c:strCache>
                <c:ptCount val="3"/>
                <c:pt idx="0">
                  <c:v>Low Price</c:v>
                </c:pt>
                <c:pt idx="1">
                  <c:v>Medium Price</c:v>
                </c:pt>
                <c:pt idx="2">
                  <c:v>High Price</c:v>
                </c:pt>
              </c:strCache>
            </c:strRef>
          </c:cat>
          <c:val>
            <c:numRef>
              <c:f>'Pivot Tables'!$F$5:$F$8</c:f>
              <c:numCache>
                <c:formatCode>0.0</c:formatCode>
                <c:ptCount val="3"/>
                <c:pt idx="0">
                  <c:v>3.6357142857142857</c:v>
                </c:pt>
                <c:pt idx="1">
                  <c:v>3.8833333333333333</c:v>
                </c:pt>
                <c:pt idx="2">
                  <c:v>4.0842105263157888</c:v>
                </c:pt>
              </c:numCache>
            </c:numRef>
          </c:val>
          <c:extLst>
            <c:ext xmlns:c16="http://schemas.microsoft.com/office/drawing/2014/chart" uri="{C3380CC4-5D6E-409C-BE32-E72D297353CC}">
              <c16:uniqueId val="{00000000-4C66-48C1-B806-A1472C44C5F2}"/>
            </c:ext>
          </c:extLst>
        </c:ser>
        <c:dLbls>
          <c:showLegendKey val="0"/>
          <c:showVal val="0"/>
          <c:showCatName val="0"/>
          <c:showSerName val="0"/>
          <c:showPercent val="0"/>
          <c:showBubbleSize val="0"/>
        </c:dLbls>
        <c:gapWidth val="219"/>
        <c:overlap val="-27"/>
        <c:axId val="792466511"/>
        <c:axId val="792460271"/>
      </c:barChart>
      <c:catAx>
        <c:axId val="792466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92460271"/>
        <c:crosses val="autoZero"/>
        <c:auto val="1"/>
        <c:lblAlgn val="ctr"/>
        <c:lblOffset val="100"/>
        <c:noMultiLvlLbl val="0"/>
      </c:catAx>
      <c:valAx>
        <c:axId val="7924602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92466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[jumia-product-performance-dashboard.xlsx]Pivot Tables!Engagement by Discount</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Engagement by Discount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Tables'!$C$32</c:f>
              <c:strCache>
                <c:ptCount val="1"/>
                <c:pt idx="0">
                  <c:v>Total</c:v>
                </c:pt>
              </c:strCache>
            </c:strRef>
          </c:tx>
          <c:spPr>
            <a:solidFill>
              <a:schemeClr val="accent2"/>
            </a:solidFill>
            <a:ln>
              <a:noFill/>
            </a:ln>
            <a:effectLst/>
          </c:spPr>
          <c:invertIfNegative val="0"/>
          <c:cat>
            <c:strRef>
              <c:f>'Pivot Tables'!$B$33:$B$36</c:f>
              <c:strCache>
                <c:ptCount val="3"/>
                <c:pt idx="0">
                  <c:v>Medium Discount</c:v>
                </c:pt>
                <c:pt idx="1">
                  <c:v>High Discount</c:v>
                </c:pt>
                <c:pt idx="2">
                  <c:v>Low Discount</c:v>
                </c:pt>
              </c:strCache>
            </c:strRef>
          </c:cat>
          <c:val>
            <c:numRef>
              <c:f>'Pivot Tables'!$C$33:$C$36</c:f>
              <c:numCache>
                <c:formatCode>General</c:formatCode>
                <c:ptCount val="3"/>
                <c:pt idx="0">
                  <c:v>351</c:v>
                </c:pt>
                <c:pt idx="1">
                  <c:v>334</c:v>
                </c:pt>
                <c:pt idx="2">
                  <c:v>38</c:v>
                </c:pt>
              </c:numCache>
            </c:numRef>
          </c:val>
          <c:extLst>
            <c:ext xmlns:c16="http://schemas.microsoft.com/office/drawing/2014/chart" uri="{C3380CC4-5D6E-409C-BE32-E72D297353CC}">
              <c16:uniqueId val="{00000000-E3C9-45C6-9CEB-F4D3B1DE4F64}"/>
            </c:ext>
          </c:extLst>
        </c:ser>
        <c:dLbls>
          <c:showLegendKey val="0"/>
          <c:showVal val="0"/>
          <c:showCatName val="0"/>
          <c:showSerName val="0"/>
          <c:showPercent val="0"/>
          <c:showBubbleSize val="0"/>
        </c:dLbls>
        <c:gapWidth val="219"/>
        <c:overlap val="-27"/>
        <c:axId val="792469391"/>
        <c:axId val="792466991"/>
      </c:barChart>
      <c:catAx>
        <c:axId val="792469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92466991"/>
        <c:crosses val="autoZero"/>
        <c:auto val="1"/>
        <c:lblAlgn val="ctr"/>
        <c:lblOffset val="100"/>
        <c:noMultiLvlLbl val="0"/>
      </c:catAx>
      <c:valAx>
        <c:axId val="792466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92469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[jumia-product-performance-dashboard.xlsx]Pivot Tables!Top Products by Rating</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 Products by Rating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Tables'!$C$14</c:f>
              <c:strCache>
                <c:ptCount val="1"/>
                <c:pt idx="0">
                  <c:v>Total</c:v>
                </c:pt>
              </c:strCache>
            </c:strRef>
          </c:tx>
          <c:spPr>
            <a:solidFill>
              <a:schemeClr val="accent2"/>
            </a:solidFill>
            <a:ln>
              <a:noFill/>
            </a:ln>
            <a:effectLst/>
          </c:spPr>
          <c:invertIfNegative val="0"/>
          <c:cat>
            <c:strRef>
              <c:f>'Pivot Tables'!$B$15:$B$25</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'Pivot Tables'!$C$15:$C$25</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11AA-4AE4-8461-7500DB017384}"/>
            </c:ext>
          </c:extLst>
        </c:ser>
        <c:dLbls>
          <c:showLegendKey val="0"/>
          <c:showVal val="0"/>
          <c:showCatName val="0"/>
          <c:showSerName val="0"/>
          <c:showPercent val="0"/>
          <c:showBubbleSize val="0"/>
        </c:dLbls>
        <c:gapWidth val="182"/>
        <c:axId val="792471791"/>
        <c:axId val="792467471"/>
      </c:barChart>
      <c:catAx>
        <c:axId val="7924717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92467471"/>
        <c:crosses val="autoZero"/>
        <c:auto val="1"/>
        <c:lblAlgn val="ctr"/>
        <c:lblOffset val="100"/>
        <c:noMultiLvlLbl val="0"/>
      </c:catAx>
      <c:valAx>
        <c:axId val="7924674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9247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[jumia-product-performance-dashboard.xlsx]Pivot Tables!Top Products by Reviews</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 Products by Reviews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Tables'!$F$14</c:f>
              <c:strCache>
                <c:ptCount val="1"/>
                <c:pt idx="0">
                  <c:v>Total</c:v>
                </c:pt>
              </c:strCache>
            </c:strRef>
          </c:tx>
          <c:spPr>
            <a:solidFill>
              <a:schemeClr val="accent2"/>
            </a:solidFill>
            <a:ln>
              <a:noFill/>
            </a:ln>
            <a:effectLst/>
          </c:spPr>
          <c:invertIfNegative val="0"/>
          <c:cat>
            <c:strRef>
              <c:f>'Pivot Tables'!$E$15:$E$25</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52 Pieces Cake Decorating Tool Set Gift Kit Baking Supplies</c:v>
                </c:pt>
                <c:pt idx="9">
                  <c:v>53Pcs/Set Yarn Knitting Crochet Hooks With Bag - Fortune Cat</c:v>
                </c:pt>
              </c:strCache>
            </c:strRef>
          </c:cat>
          <c:val>
            <c:numRef>
              <c:f>'Pivot Tables'!$F$15:$F$25</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9279-4CE2-AED8-BEE6402D8A8B}"/>
            </c:ext>
          </c:extLst>
        </c:ser>
        <c:dLbls>
          <c:showLegendKey val="0"/>
          <c:showVal val="0"/>
          <c:showCatName val="0"/>
          <c:showSerName val="0"/>
          <c:showPercent val="0"/>
          <c:showBubbleSize val="0"/>
        </c:dLbls>
        <c:gapWidth val="182"/>
        <c:axId val="757084191"/>
        <c:axId val="757086591"/>
      </c:barChart>
      <c:catAx>
        <c:axId val="7570841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7086591"/>
        <c:crosses val="autoZero"/>
        <c:auto val="1"/>
        <c:lblAlgn val="ctr"/>
        <c:lblOffset val="100"/>
        <c:noMultiLvlLbl val="0"/>
      </c:catAx>
      <c:valAx>
        <c:axId val="7570865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Reviews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7084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[jumia-product-performance-dashboard.xlsx]Pivot Tables!Top Products by Discount</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 Products by Discount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Tables'!$F$31</c:f>
              <c:strCache>
                <c:ptCount val="1"/>
                <c:pt idx="0">
                  <c:v>Total</c:v>
                </c:pt>
              </c:strCache>
            </c:strRef>
          </c:tx>
          <c:spPr>
            <a:solidFill>
              <a:schemeClr val="accent2"/>
            </a:solidFill>
            <a:ln>
              <a:noFill/>
            </a:ln>
            <a:effectLst/>
          </c:spPr>
          <c:invertIfNegative val="0"/>
          <c:cat>
            <c:strRef>
              <c:f>'Pivot Tables'!$E$32:$E$42</c:f>
              <c:strCache>
                <c:ptCount val="10"/>
                <c:pt idx="0">
                  <c:v>6 In 1 Bottle Can Opener Multifunctional Easy Opener</c:v>
                </c:pt>
                <c:pt idx="1">
                  <c:v>LASA FOLDING TABLE SERVING STAND</c:v>
                </c:pt>
                <c:pt idx="2">
                  <c:v>5-PCS Stainless Steel Cooking Pot Set With Steamed Slices</c:v>
                </c:pt>
                <c:pt idx="3">
                  <c:v>Creative Owl Shape Keychain Black</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Exfoliate And Exfoliate Face Towel - Black</c:v>
                </c:pt>
                <c:pt idx="9">
                  <c:v>Intelligent LED Body Sensor Wireless Lighting Night Light USB</c:v>
                </c:pt>
              </c:strCache>
            </c:strRef>
          </c:cat>
          <c:val>
            <c:numRef>
              <c:f>'Pivot Tables'!$F$32:$F$42</c:f>
              <c:numCache>
                <c:formatCode>0%</c:formatCode>
                <c:ptCount val="10"/>
                <c:pt idx="0">
                  <c:v>0.64</c:v>
                </c:pt>
                <c:pt idx="1">
                  <c:v>0.55000000000000004</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5178-421C-8107-DFCDD3F1C9FA}"/>
            </c:ext>
          </c:extLst>
        </c:ser>
        <c:dLbls>
          <c:showLegendKey val="0"/>
          <c:showVal val="0"/>
          <c:showCatName val="0"/>
          <c:showSerName val="0"/>
          <c:showPercent val="0"/>
          <c:showBubbleSize val="0"/>
        </c:dLbls>
        <c:gapWidth val="182"/>
        <c:axId val="757092831"/>
        <c:axId val="757088031"/>
      </c:barChart>
      <c:catAx>
        <c:axId val="7570928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7088031"/>
        <c:crosses val="autoZero"/>
        <c:auto val="1"/>
        <c:lblAlgn val="ctr"/>
        <c:lblOffset val="100"/>
        <c:noMultiLvlLbl val="0"/>
      </c:catAx>
      <c:valAx>
        <c:axId val="7570880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709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[jumia-product-performance-dashboard.xlsx]Pivot Tables!Rating Mix</c:name>
    <c:fmtId val="6"/>
  </c:pivotSource>
  <c:chart>
    <c:title>
      <c:tx>
        <c:rich>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r>
              <a:rPr lang="en-US" sz="900" b="1">
                <a:solidFill>
                  <a:schemeClr val="tx1"/>
                </a:solidFill>
              </a:rPr>
              <a:t>Product</a:t>
            </a:r>
            <a:r>
              <a:rPr lang="en-US" sz="900" b="1" baseline="0">
                <a:solidFill>
                  <a:schemeClr val="tx1"/>
                </a:solidFill>
              </a:rPr>
              <a:t> by Rating Category</a:t>
            </a: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endParaRPr lang="en-KE"/>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tint val="54000"/>
            </a:schemeClr>
          </a:solidFill>
          <a:ln w="19050">
            <a:solidFill>
              <a:schemeClr val="lt1"/>
            </a:solidFill>
          </a:ln>
          <a:effectLst/>
        </c:spPr>
      </c:pivotFmt>
      <c:pivotFmt>
        <c:idx val="3"/>
        <c:spPr>
          <a:solidFill>
            <a:schemeClr val="accent2">
              <a:tint val="77000"/>
            </a:schemeClr>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hade val="76000"/>
            </a:schemeClr>
          </a:solidFill>
          <a:ln w="19050">
            <a:solidFill>
              <a:schemeClr val="lt1"/>
            </a:solidFill>
          </a:ln>
          <a:effectLst/>
        </c:spPr>
      </c:pivotFmt>
      <c:pivotFmt>
        <c:idx val="6"/>
        <c:spPr>
          <a:solidFill>
            <a:schemeClr val="accent2">
              <a:shade val="53000"/>
            </a:schemeClr>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tint val="54000"/>
            </a:schemeClr>
          </a:solidFill>
          <a:ln w="19050">
            <a:solidFill>
              <a:schemeClr val="lt1"/>
            </a:solidFill>
          </a:ln>
          <a:effectLst/>
        </c:spPr>
      </c:pivotFmt>
      <c:pivotFmt>
        <c:idx val="9"/>
        <c:spPr>
          <a:solidFill>
            <a:schemeClr val="accent2">
              <a:tint val="77000"/>
            </a:schemeClr>
          </a:solidFill>
          <a:ln w="19050">
            <a:solidFill>
              <a:schemeClr val="lt1"/>
            </a:solidFill>
          </a:ln>
          <a:effectLst/>
        </c:spPr>
      </c:pivotFmt>
      <c:pivotFmt>
        <c:idx val="10"/>
        <c:spPr>
          <a:solidFill>
            <a:schemeClr val="accent2">
              <a:tint val="54000"/>
            </a:schemeClr>
          </a:solidFill>
          <a:ln w="19050">
            <a:solidFill>
              <a:schemeClr val="lt1"/>
            </a:solidFill>
          </a:ln>
          <a:effectLst/>
        </c:spPr>
      </c:pivotFmt>
      <c:pivotFmt>
        <c:idx val="11"/>
        <c:spPr>
          <a:solidFill>
            <a:schemeClr val="accent2">
              <a:shade val="76000"/>
            </a:schemeClr>
          </a:solidFill>
          <a:ln w="19050">
            <a:solidFill>
              <a:schemeClr val="lt1"/>
            </a:solidFill>
          </a:ln>
          <a:effectLst/>
        </c:spPr>
      </c:pivotFmt>
      <c:pivotFmt>
        <c:idx val="12"/>
        <c:spPr>
          <a:solidFill>
            <a:schemeClr val="accent2">
              <a:shade val="53000"/>
            </a:schemeClr>
          </a:solidFill>
          <a:ln w="19050">
            <a:solidFill>
              <a:schemeClr val="lt1"/>
            </a:solidFill>
          </a:ln>
          <a:effectLst/>
        </c:spPr>
      </c:pivotFmt>
      <c:pivotFmt>
        <c:idx val="1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tint val="54000"/>
            </a:schemeClr>
          </a:solidFill>
          <a:ln w="19050">
            <a:solidFill>
              <a:schemeClr val="lt1"/>
            </a:solidFill>
          </a:ln>
          <a:effectLst/>
        </c:spPr>
      </c:pivotFmt>
      <c:pivotFmt>
        <c:idx val="15"/>
        <c:spPr>
          <a:solidFill>
            <a:schemeClr val="accent2">
              <a:tint val="77000"/>
            </a:schemeClr>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hade val="76000"/>
            </a:schemeClr>
          </a:solidFill>
          <a:ln w="19050">
            <a:solidFill>
              <a:schemeClr val="lt1"/>
            </a:solidFill>
          </a:ln>
          <a:effectLst/>
        </c:spPr>
      </c:pivotFmt>
      <c:pivotFmt>
        <c:idx val="18"/>
        <c:spPr>
          <a:solidFill>
            <a:schemeClr val="accent2">
              <a:shade val="53000"/>
            </a:schemeClr>
          </a:solidFill>
          <a:ln w="19050">
            <a:solidFill>
              <a:schemeClr val="lt1"/>
            </a:solidFill>
          </a:ln>
          <a:effectLst/>
        </c:spPr>
      </c:pivotFmt>
    </c:pivotFmts>
    <c:plotArea>
      <c:layout/>
      <c:doughnutChart>
        <c:varyColors val="1"/>
        <c:ser>
          <c:idx val="0"/>
          <c:order val="0"/>
          <c:tx>
            <c:strRef>
              <c:f>'Pivot Tables'!$V$3</c:f>
              <c:strCache>
                <c:ptCount val="1"/>
                <c:pt idx="0">
                  <c:v>Total</c:v>
                </c:pt>
              </c:strCache>
            </c:strRef>
          </c:tx>
          <c:dPt>
            <c:idx val="0"/>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1-2D9E-4B79-8277-A641A964B0D7}"/>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2D9E-4B79-8277-A641A964B0D7}"/>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2D9E-4B79-8277-A641A964B0D7}"/>
              </c:ext>
            </c:extLst>
          </c:dPt>
          <c:dPt>
            <c:idx val="3"/>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7-2D9E-4B79-8277-A641A964B0D7}"/>
              </c:ext>
            </c:extLst>
          </c:dPt>
          <c:dPt>
            <c:idx val="4"/>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9-2D9E-4B79-8277-A641A964B0D7}"/>
              </c:ext>
            </c:extLst>
          </c:dPt>
          <c:cat>
            <c:strRef>
              <c:f>'Pivot Tables'!$U$4:$U$9</c:f>
              <c:strCache>
                <c:ptCount val="5"/>
                <c:pt idx="0">
                  <c:v>Average</c:v>
                </c:pt>
                <c:pt idx="1">
                  <c:v>Excellent</c:v>
                </c:pt>
                <c:pt idx="2">
                  <c:v>Missing</c:v>
                </c:pt>
                <c:pt idx="3">
                  <c:v>Poor</c:v>
                </c:pt>
                <c:pt idx="4">
                  <c:v>Unclassified</c:v>
                </c:pt>
              </c:strCache>
            </c:strRef>
          </c:cat>
          <c:val>
            <c:numRef>
              <c:f>'Pivot Tables'!$V$4:$V$9</c:f>
              <c:numCache>
                <c:formatCode>General</c:formatCode>
                <c:ptCount val="5"/>
                <c:pt idx="0">
                  <c:v>13</c:v>
                </c:pt>
                <c:pt idx="1">
                  <c:v>23</c:v>
                </c:pt>
                <c:pt idx="2">
                  <c:v>55</c:v>
                </c:pt>
                <c:pt idx="3">
                  <c:v>12</c:v>
                </c:pt>
                <c:pt idx="4">
                  <c:v>9</c:v>
                </c:pt>
              </c:numCache>
            </c:numRef>
          </c:val>
          <c:extLst>
            <c:ext xmlns:c16="http://schemas.microsoft.com/office/drawing/2014/chart" uri="{C3380CC4-5D6E-409C-BE32-E72D297353CC}">
              <c16:uniqueId val="{0000000A-86F0-4BCF-AC24-5A3850E3468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[jumia-product-performance-dashboard.xlsx]Pivot Tables!Discount Mix</c:name>
    <c:fmtId val="6"/>
  </c:pivotSource>
  <c:chart>
    <c:title>
      <c:tx>
        <c:rich>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r>
              <a:rPr lang="en-US" sz="900" b="1">
                <a:solidFill>
                  <a:schemeClr val="tx1"/>
                </a:solidFill>
              </a:rPr>
              <a:t>Product</a:t>
            </a:r>
            <a:r>
              <a:rPr lang="en-US" sz="900" b="1" baseline="0">
                <a:solidFill>
                  <a:schemeClr val="tx1"/>
                </a:solidFill>
              </a:rPr>
              <a:t> by</a:t>
            </a:r>
            <a:r>
              <a:rPr lang="en-US" sz="900" b="1">
                <a:solidFill>
                  <a:schemeClr val="tx1"/>
                </a:solidFill>
              </a:rPr>
              <a:t> Discount </a:t>
            </a:r>
            <a:r>
              <a:rPr lang="en-US" sz="900" b="1" baseline="0">
                <a:solidFill>
                  <a:schemeClr val="tx1"/>
                </a:solidFill>
              </a:rPr>
              <a:t> Category</a:t>
            </a:r>
            <a:endParaRPr lang="en-US" sz="900" b="1">
              <a:solidFill>
                <a:schemeClr val="tx1"/>
              </a:solidFill>
            </a:endParaRP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Tables'!$C$4</c:f>
              <c:strCache>
                <c:ptCount val="1"/>
                <c:pt idx="0">
                  <c:v>Total</c:v>
                </c:pt>
              </c:strCache>
            </c:strRef>
          </c:tx>
          <c:spPr>
            <a:solidFill>
              <a:schemeClr val="accent2"/>
            </a:solidFill>
            <a:ln>
              <a:noFill/>
            </a:ln>
            <a:effectLst/>
          </c:spPr>
          <c:invertIfNegative val="0"/>
          <c:cat>
            <c:strRef>
              <c:f>'Pivot Tables'!$B$5:$B$8</c:f>
              <c:strCache>
                <c:ptCount val="3"/>
                <c:pt idx="0">
                  <c:v>High Discount</c:v>
                </c:pt>
                <c:pt idx="1">
                  <c:v>Medium Discount</c:v>
                </c:pt>
                <c:pt idx="2">
                  <c:v>Low Discount</c:v>
                </c:pt>
              </c:strCache>
            </c:strRef>
          </c:cat>
          <c:val>
            <c:numRef>
              <c:f>'Pivot Tables'!$C$5:$C$8</c:f>
              <c:numCache>
                <c:formatCode>General</c:formatCode>
                <c:ptCount val="3"/>
                <c:pt idx="0">
                  <c:v>62</c:v>
                </c:pt>
                <c:pt idx="1">
                  <c:v>32</c:v>
                </c:pt>
                <c:pt idx="2">
                  <c:v>18</c:v>
                </c:pt>
              </c:numCache>
            </c:numRef>
          </c:val>
          <c:extLst>
            <c:ext xmlns:c16="http://schemas.microsoft.com/office/drawing/2014/chart" uri="{C3380CC4-5D6E-409C-BE32-E72D297353CC}">
              <c16:uniqueId val="{00000000-2E54-47B8-87AF-41719AB0103C}"/>
            </c:ext>
          </c:extLst>
        </c:ser>
        <c:dLbls>
          <c:showLegendKey val="0"/>
          <c:showVal val="0"/>
          <c:showCatName val="0"/>
          <c:showSerName val="0"/>
          <c:showPercent val="0"/>
          <c:showBubbleSize val="0"/>
        </c:dLbls>
        <c:gapWidth val="219"/>
        <c:overlap val="-27"/>
        <c:axId val="757089951"/>
        <c:axId val="757090911"/>
      </c:barChart>
      <c:catAx>
        <c:axId val="757089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7090911"/>
        <c:crosses val="autoZero"/>
        <c:auto val="1"/>
        <c:lblAlgn val="ctr"/>
        <c:lblOffset val="100"/>
        <c:noMultiLvlLbl val="0"/>
      </c:catAx>
      <c:valAx>
        <c:axId val="7570909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7089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[jumia-product-performance-dashboard.xlsx]Pivot Tables!Top Products by Rating</c:name>
    <c:fmtId val="6"/>
  </c:pivotSource>
  <c:chart>
    <c:title>
      <c:tx>
        <c:rich>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r>
              <a:rPr lang="en-US" sz="900" b="1">
                <a:solidFill>
                  <a:schemeClr val="tx1"/>
                </a:solidFill>
              </a:rPr>
              <a:t>Top 10 by Rating</a:t>
            </a: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Tables'!$C$14</c:f>
              <c:strCache>
                <c:ptCount val="1"/>
                <c:pt idx="0">
                  <c:v>Total</c:v>
                </c:pt>
              </c:strCache>
            </c:strRef>
          </c:tx>
          <c:spPr>
            <a:solidFill>
              <a:schemeClr val="accent2"/>
            </a:solidFill>
            <a:ln>
              <a:noFill/>
            </a:ln>
            <a:effectLst/>
          </c:spPr>
          <c:invertIfNegative val="0"/>
          <c:cat>
            <c:strRef>
              <c:f>'Pivot Tables'!$B$15:$B$25</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'Pivot Tables'!$C$15:$C$25</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4093-4DB6-9DC4-FB9EB83187DB}"/>
            </c:ext>
          </c:extLst>
        </c:ser>
        <c:dLbls>
          <c:showLegendKey val="0"/>
          <c:showVal val="0"/>
          <c:showCatName val="0"/>
          <c:showSerName val="0"/>
          <c:showPercent val="0"/>
          <c:showBubbleSize val="0"/>
        </c:dLbls>
        <c:gapWidth val="182"/>
        <c:axId val="792471791"/>
        <c:axId val="792467471"/>
      </c:barChart>
      <c:catAx>
        <c:axId val="7924717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92467471"/>
        <c:crosses val="autoZero"/>
        <c:auto val="1"/>
        <c:lblAlgn val="ctr"/>
        <c:lblOffset val="100"/>
        <c:noMultiLvlLbl val="0"/>
      </c:catAx>
      <c:valAx>
        <c:axId val="7924674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9247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[jumia-product-performance-dashboard.xlsx]Pivot Tables!Top Products by Reviews</c:name>
    <c:fmtId val="6"/>
  </c:pivotSource>
  <c:chart>
    <c:title>
      <c:tx>
        <c:rich>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r>
              <a:rPr lang="en-US" sz="900" b="1">
                <a:solidFill>
                  <a:schemeClr val="tx1"/>
                </a:solidFill>
              </a:rPr>
              <a:t>Top 10 by Reviews</a:t>
            </a: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Tables'!$F$14</c:f>
              <c:strCache>
                <c:ptCount val="1"/>
                <c:pt idx="0">
                  <c:v>Total</c:v>
                </c:pt>
              </c:strCache>
            </c:strRef>
          </c:tx>
          <c:spPr>
            <a:solidFill>
              <a:schemeClr val="accent2"/>
            </a:solidFill>
            <a:ln>
              <a:noFill/>
            </a:ln>
            <a:effectLst/>
          </c:spPr>
          <c:invertIfNegative val="0"/>
          <c:cat>
            <c:strRef>
              <c:f>'Pivot Tables'!$E$15:$E$25</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52 Pieces Cake Decorating Tool Set Gift Kit Baking Supplies</c:v>
                </c:pt>
                <c:pt idx="9">
                  <c:v>53Pcs/Set Yarn Knitting Crochet Hooks With Bag - Fortune Cat</c:v>
                </c:pt>
              </c:strCache>
            </c:strRef>
          </c:cat>
          <c:val>
            <c:numRef>
              <c:f>'Pivot Tables'!$F$15:$F$25</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4B74-43C4-8BFC-6E5EA90F8175}"/>
            </c:ext>
          </c:extLst>
        </c:ser>
        <c:dLbls>
          <c:showLegendKey val="0"/>
          <c:showVal val="0"/>
          <c:showCatName val="0"/>
          <c:showSerName val="0"/>
          <c:showPercent val="0"/>
          <c:showBubbleSize val="0"/>
        </c:dLbls>
        <c:gapWidth val="182"/>
        <c:axId val="757084191"/>
        <c:axId val="757086591"/>
      </c:barChart>
      <c:catAx>
        <c:axId val="7570841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7086591"/>
        <c:crosses val="autoZero"/>
        <c:auto val="1"/>
        <c:lblAlgn val="ctr"/>
        <c:lblOffset val="100"/>
        <c:noMultiLvlLbl val="0"/>
      </c:catAx>
      <c:valAx>
        <c:axId val="7570865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Reviews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7084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[jumia-product-performance-dashboard.xlsx]Pivot Tables!Top Products by Discount</c:name>
    <c:fmtId val="6"/>
  </c:pivotSource>
  <c:chart>
    <c:title>
      <c:tx>
        <c:rich>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r>
              <a:rPr lang="en-US" sz="900" b="1">
                <a:solidFill>
                  <a:schemeClr val="tx1"/>
                </a:solidFill>
              </a:rPr>
              <a:t>Top 10 by Discount</a:t>
            </a: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Tables'!$F$31</c:f>
              <c:strCache>
                <c:ptCount val="1"/>
                <c:pt idx="0">
                  <c:v>Total</c:v>
                </c:pt>
              </c:strCache>
            </c:strRef>
          </c:tx>
          <c:spPr>
            <a:solidFill>
              <a:schemeClr val="accent2"/>
            </a:solidFill>
            <a:ln>
              <a:noFill/>
            </a:ln>
            <a:effectLst/>
          </c:spPr>
          <c:invertIfNegative val="0"/>
          <c:cat>
            <c:strRef>
              <c:f>'Pivot Tables'!$E$32:$E$42</c:f>
              <c:strCache>
                <c:ptCount val="10"/>
                <c:pt idx="0">
                  <c:v>6 In 1 Bottle Can Opener Multifunctional Easy Opener</c:v>
                </c:pt>
                <c:pt idx="1">
                  <c:v>LASA FOLDING TABLE SERVING STAND</c:v>
                </c:pt>
                <c:pt idx="2">
                  <c:v>5-PCS Stainless Steel Cooking Pot Set With Steamed Slices</c:v>
                </c:pt>
                <c:pt idx="3">
                  <c:v>Creative Owl Shape Keychain Black</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Exfoliate And Exfoliate Face Towel - Black</c:v>
                </c:pt>
                <c:pt idx="9">
                  <c:v>Intelligent LED Body Sensor Wireless Lighting Night Light USB</c:v>
                </c:pt>
              </c:strCache>
            </c:strRef>
          </c:cat>
          <c:val>
            <c:numRef>
              <c:f>'Pivot Tables'!$F$32:$F$42</c:f>
              <c:numCache>
                <c:formatCode>0%</c:formatCode>
                <c:ptCount val="10"/>
                <c:pt idx="0">
                  <c:v>0.64</c:v>
                </c:pt>
                <c:pt idx="1">
                  <c:v>0.55000000000000004</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7C34-4E29-BAD7-ECEE74BF2340}"/>
            </c:ext>
          </c:extLst>
        </c:ser>
        <c:dLbls>
          <c:showLegendKey val="0"/>
          <c:showVal val="0"/>
          <c:showCatName val="0"/>
          <c:showSerName val="0"/>
          <c:showPercent val="0"/>
          <c:showBubbleSize val="0"/>
        </c:dLbls>
        <c:gapWidth val="182"/>
        <c:axId val="757092831"/>
        <c:axId val="757088031"/>
      </c:barChart>
      <c:catAx>
        <c:axId val="757092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7088031"/>
        <c:crosses val="autoZero"/>
        <c:auto val="1"/>
        <c:lblAlgn val="ctr"/>
        <c:lblOffset val="100"/>
        <c:noMultiLvlLbl val="0"/>
      </c:catAx>
      <c:valAx>
        <c:axId val="7570880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7092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r>
              <a:rPr lang="en-US" sz="900" b="1">
                <a:solidFill>
                  <a:schemeClr val="tx1"/>
                </a:solidFill>
              </a:rPr>
              <a:t>Discount vs Reviews</a:t>
            </a: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endParaRPr lang="en-KE"/>
        </a:p>
      </c:txPr>
    </c:title>
    <c:autoTitleDeleted val="0"/>
    <c:plotArea>
      <c:layout/>
      <c:scatterChart>
        <c:scatterStyle val="lineMarker"/>
        <c:varyColors val="0"/>
        <c:ser>
          <c:idx val="0"/>
          <c:order val="0"/>
          <c:spPr>
            <a:ln w="38100" cap="rnd">
              <a:noFill/>
              <a:round/>
            </a:ln>
            <a:effectLst/>
          </c:spPr>
          <c:marker>
            <c:symbol val="circle"/>
            <c:size val="5"/>
            <c:spPr>
              <a:solidFill>
                <a:schemeClr val="accent2"/>
              </a:solidFill>
              <a:ln w="9525">
                <a:solidFill>
                  <a:schemeClr val="accent2"/>
                </a:solidFill>
              </a:ln>
              <a:effectLst/>
            </c:spPr>
          </c:marker>
          <c:trendline>
            <c:spPr>
              <a:ln w="25400" cap="rnd">
                <a:solidFill>
                  <a:schemeClr val="accent2"/>
                </a:solidFill>
                <a:prstDash val="sysDot"/>
              </a:ln>
              <a:effectLst/>
            </c:spPr>
            <c:trendlineType val="linear"/>
            <c:dispRSqr val="1"/>
            <c:dispEq val="1"/>
            <c:trendlineLbl>
              <c:layout>
                <c:manualLayout>
                  <c:x val="3.6941382327209102E-2"/>
                  <c:y val="-0.1884569116360455"/>
                </c:manualLayout>
              </c:layout>
              <c:numFmt formatCode="General"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rendlineLbl>
          </c:trendline>
          <c:trendline>
            <c:spPr>
              <a:ln w="19050" cap="rnd">
                <a:solidFill>
                  <a:schemeClr val="tx1"/>
                </a:solidFill>
                <a:prstDash val="sysDot"/>
              </a:ln>
              <a:effectLst/>
            </c:spPr>
            <c:trendlineType val="linear"/>
            <c:dispRSqr val="0"/>
            <c:dispEq val="0"/>
          </c:trendline>
          <c:xVal>
            <c:numRef>
              <c:f>'Cleaned Data'!$F$2:$F$113</c:f>
              <c:numCache>
                <c:formatCode>0%</c:formatCode>
                <c:ptCount val="112"/>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0.13</c:v>
                </c:pt>
                <c:pt idx="60">
                  <c:v>0.54</c:v>
                </c:pt>
                <c:pt idx="61">
                  <c:v>0.55000000000000004</c:v>
                </c:pt>
                <c:pt idx="62">
                  <c:v>0.49</c:v>
                </c:pt>
                <c:pt idx="63">
                  <c:v>0.52</c:v>
                </c:pt>
                <c:pt idx="64">
                  <c:v>0.22</c:v>
                </c:pt>
                <c:pt idx="65">
                  <c:v>0.45</c:v>
                </c:pt>
                <c:pt idx="66">
                  <c:v>0.5</c:v>
                </c:pt>
                <c:pt idx="67">
                  <c:v>0.39</c:v>
                </c:pt>
                <c:pt idx="68">
                  <c:v>0.45</c:v>
                </c:pt>
                <c:pt idx="69">
                  <c:v>0.28999999999999998</c:v>
                </c:pt>
                <c:pt idx="70">
                  <c:v>0.43</c:v>
                </c:pt>
                <c:pt idx="71">
                  <c:v>0.43</c:v>
                </c:pt>
                <c:pt idx="72">
                  <c:v>0.47</c:v>
                </c:pt>
                <c:pt idx="73">
                  <c:v>0.47</c:v>
                </c:pt>
                <c:pt idx="74">
                  <c:v>0.47</c:v>
                </c:pt>
                <c:pt idx="75">
                  <c:v>0.43</c:v>
                </c:pt>
                <c:pt idx="76">
                  <c:v>0.04</c:v>
                </c:pt>
                <c:pt idx="77">
                  <c:v>0.49</c:v>
                </c:pt>
                <c:pt idx="78">
                  <c:v>0.46</c:v>
                </c:pt>
                <c:pt idx="79">
                  <c:v>0.49</c:v>
                </c:pt>
                <c:pt idx="80">
                  <c:v>0.36</c:v>
                </c:pt>
                <c:pt idx="81">
                  <c:v>0.02</c:v>
                </c:pt>
                <c:pt idx="82">
                  <c:v>0.49</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0.21</c:v>
                </c:pt>
                <c:pt idx="102">
                  <c:v>0.41</c:v>
                </c:pt>
                <c:pt idx="103">
                  <c:v>0.01</c:v>
                </c:pt>
                <c:pt idx="104">
                  <c:v>0.24</c:v>
                </c:pt>
                <c:pt idx="105">
                  <c:v>0.34</c:v>
                </c:pt>
                <c:pt idx="106">
                  <c:v>0.34</c:v>
                </c:pt>
                <c:pt idx="107">
                  <c:v>0.02</c:v>
                </c:pt>
                <c:pt idx="108">
                  <c:v>0.02</c:v>
                </c:pt>
                <c:pt idx="109">
                  <c:v>0.64</c:v>
                </c:pt>
                <c:pt idx="110">
                  <c:v>0.5</c:v>
                </c:pt>
                <c:pt idx="111">
                  <c:v>0.47</c:v>
                </c:pt>
              </c:numCache>
            </c:numRef>
          </c:xVal>
          <c:yVal>
            <c:numRef>
              <c:f>'Cleaned Data'!$H$2:$H$113</c:f>
              <c:numCache>
                <c:formatCode>0</c:formatCod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0</c:v>
                </c:pt>
                <c:pt idx="75">
                  <c:v>0</c:v>
                </c:pt>
                <c:pt idx="76">
                  <c:v>0</c:v>
                </c:pt>
                <c:pt idx="77">
                  <c:v>0</c:v>
                </c:pt>
                <c:pt idx="78">
                  <c:v>1</c:v>
                </c:pt>
                <c:pt idx="79">
                  <c:v>1</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1</c:v>
                </c:pt>
                <c:pt idx="111">
                  <c:v>0</c:v>
                </c:pt>
              </c:numCache>
            </c:numRef>
          </c:yVal>
          <c:smooth val="0"/>
          <c:extLst>
            <c:ext xmlns:c16="http://schemas.microsoft.com/office/drawing/2014/chart" uri="{C3380CC4-5D6E-409C-BE32-E72D297353CC}">
              <c16:uniqueId val="{00000002-FDCA-4633-ADEB-BCF8E836BFCB}"/>
            </c:ext>
          </c:extLst>
        </c:ser>
        <c:dLbls>
          <c:showLegendKey val="0"/>
          <c:showVal val="0"/>
          <c:showCatName val="0"/>
          <c:showSerName val="0"/>
          <c:showPercent val="0"/>
          <c:showBubbleSize val="0"/>
        </c:dLbls>
        <c:axId val="224138176"/>
        <c:axId val="224140576"/>
      </c:scatterChart>
      <c:valAx>
        <c:axId val="2241381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24140576"/>
        <c:crosses val="autoZero"/>
        <c:crossBetween val="midCat"/>
      </c:valAx>
      <c:valAx>
        <c:axId val="2241405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241381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Rating vs Reviews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KE"/>
        </a:p>
      </c:txPr>
    </c:title>
    <c:autoTitleDeleted val="0"/>
    <c:plotArea>
      <c:layout/>
      <c:scatterChart>
        <c:scatterStyle val="lineMarker"/>
        <c:varyColors val="0"/>
        <c:ser>
          <c:idx val="0"/>
          <c:order val="0"/>
          <c:spPr>
            <a:ln w="38100" cap="rnd">
              <a:noFill/>
              <a:round/>
            </a:ln>
            <a:effectLst/>
          </c:spPr>
          <c:marker>
            <c:symbol val="circle"/>
            <c:size val="5"/>
            <c:spPr>
              <a:solidFill>
                <a:schemeClr val="accent2"/>
              </a:solidFill>
              <a:ln w="9525">
                <a:solidFill>
                  <a:schemeClr val="accent2"/>
                </a:solidFill>
              </a:ln>
              <a:effectLst/>
            </c:spPr>
          </c:marker>
          <c:trendline>
            <c:spPr>
              <a:ln w="25400" cap="rnd">
                <a:solidFill>
                  <a:schemeClr val="tx1"/>
                </a:solidFill>
                <a:prstDash val="sysDot"/>
              </a:ln>
              <a:effectLst/>
            </c:spPr>
            <c:trendlineType val="linear"/>
            <c:dispRSqr val="1"/>
            <c:dispEq val="1"/>
            <c:trendlineLbl>
              <c:layout>
                <c:manualLayout>
                  <c:x val="5.0328083989501313E-3"/>
                  <c:y val="3.4394502770487022E-2"/>
                </c:manualLayout>
              </c:layout>
              <c:numFmt formatCode="General" sourceLinked="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KE"/>
                </a:p>
              </c:txPr>
            </c:trendlineLbl>
          </c:trendline>
          <c:xVal>
            <c:strRef>
              <c:f>'Cleaned Data'!$H$2:$H$113</c:f>
              <c:strCache>
                <c:ptCount val="111"/>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38">
                  <c:v>2</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8">
                  <c:v>1</c:v>
                </c:pt>
                <c:pt idx="79">
                  <c:v>1</c:v>
                </c:pt>
                <c:pt idx="82">
                  <c:v>1</c:v>
                </c:pt>
                <c:pt idx="101">
                  <c:v>1</c:v>
                </c:pt>
                <c:pt idx="110">
                  <c:v>1</c:v>
                </c:pt>
              </c:strCache>
            </c:strRef>
          </c:xVal>
          <c:yVal>
            <c:numRef>
              <c:f>'Cleaned Data'!$I$2:$I$113</c:f>
              <c:numCache>
                <c:formatCode>0.0</c:formatCode>
                <c:ptCount val="112"/>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2">
                  <c:v>4</c:v>
                </c:pt>
                <c:pt idx="23">
                  <c:v>4.4000000000000004</c:v>
                </c:pt>
                <c:pt idx="24">
                  <c:v>4.3</c:v>
                </c:pt>
                <c:pt idx="25">
                  <c:v>4.5999999999999996</c:v>
                </c:pt>
                <c:pt idx="26">
                  <c:v>3.8</c:v>
                </c:pt>
                <c:pt idx="27">
                  <c:v>3.8</c:v>
                </c:pt>
                <c:pt idx="28">
                  <c:v>4.0999999999999996</c:v>
                </c:pt>
                <c:pt idx="30">
                  <c:v>4.3</c:v>
                </c:pt>
                <c:pt idx="31">
                  <c:v>4.7</c:v>
                </c:pt>
                <c:pt idx="32">
                  <c:v>4.3</c:v>
                </c:pt>
                <c:pt idx="33">
                  <c:v>4.7</c:v>
                </c:pt>
                <c:pt idx="34">
                  <c:v>4.5</c:v>
                </c:pt>
                <c:pt idx="35">
                  <c:v>5</c:v>
                </c:pt>
                <c:pt idx="36">
                  <c:v>5</c:v>
                </c:pt>
                <c:pt idx="37">
                  <c:v>4.3</c:v>
                </c:pt>
                <c:pt idx="38">
                  <c:v>4.5</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8">
                  <c:v>3</c:v>
                </c:pt>
                <c:pt idx="79">
                  <c:v>5</c:v>
                </c:pt>
                <c:pt idx="82">
                  <c:v>4</c:v>
                </c:pt>
                <c:pt idx="101">
                  <c:v>5</c:v>
                </c:pt>
                <c:pt idx="110">
                  <c:v>2</c:v>
                </c:pt>
              </c:numCache>
            </c:numRef>
          </c:yVal>
          <c:smooth val="0"/>
          <c:extLst>
            <c:ext xmlns:c16="http://schemas.microsoft.com/office/drawing/2014/chart" uri="{C3380CC4-5D6E-409C-BE32-E72D297353CC}">
              <c16:uniqueId val="{00000001-1B4F-4BEA-9F58-59B719D85953}"/>
            </c:ext>
          </c:extLst>
        </c:ser>
        <c:dLbls>
          <c:showLegendKey val="0"/>
          <c:showVal val="0"/>
          <c:showCatName val="0"/>
          <c:showSerName val="0"/>
          <c:showPercent val="0"/>
          <c:showBubbleSize val="0"/>
        </c:dLbls>
        <c:axId val="601140144"/>
        <c:axId val="601138704"/>
      </c:scatterChart>
      <c:valAx>
        <c:axId val="6011401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1138704"/>
        <c:crosses val="autoZero"/>
        <c:crossBetween val="midCat"/>
      </c:valAx>
      <c:valAx>
        <c:axId val="601138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11401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r>
              <a:rPr lang="en-US" sz="900" b="1">
                <a:solidFill>
                  <a:schemeClr val="tx1"/>
                </a:solidFill>
              </a:rPr>
              <a:t>Prices vs Rating</a:t>
            </a: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endParaRPr lang="en-KE"/>
        </a:p>
      </c:txPr>
    </c:title>
    <c:autoTitleDeleted val="0"/>
    <c:plotArea>
      <c:layout/>
      <c:scatterChart>
        <c:scatterStyle val="lineMarker"/>
        <c:varyColors val="0"/>
        <c:ser>
          <c:idx val="0"/>
          <c:order val="0"/>
          <c:spPr>
            <a:ln w="381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trendline>
            <c:spPr>
              <a:ln w="25400" cap="rnd">
                <a:solidFill>
                  <a:schemeClr val="tx1"/>
                </a:solidFill>
                <a:prstDash val="sysDot"/>
              </a:ln>
              <a:effectLst/>
            </c:spPr>
            <c:trendlineType val="linear"/>
            <c:dispRSqr val="1"/>
            <c:dispEq val="1"/>
            <c:trendlineLbl>
              <c:layout>
                <c:manualLayout>
                  <c:x val="2.5360892388451442E-3"/>
                  <c:y val="0.15767752989209682"/>
                </c:manualLayout>
              </c:layout>
              <c:numFmt formatCode="General" sourceLinked="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KE"/>
                </a:p>
              </c:txPr>
            </c:trendlineLbl>
          </c:trendline>
          <c:xVal>
            <c:numRef>
              <c:f>'Cleaned Data'!$B$2:$B$113</c:f>
              <c:numCache>
                <c:formatCode>"Ksh"#,##0.00</c:formatCode>
                <c:ptCount val="112"/>
                <c:pt idx="0">
                  <c:v>950</c:v>
                </c:pt>
                <c:pt idx="1">
                  <c:v>527</c:v>
                </c:pt>
                <c:pt idx="2">
                  <c:v>2199</c:v>
                </c:pt>
                <c:pt idx="3">
                  <c:v>1580</c:v>
                </c:pt>
                <c:pt idx="4">
                  <c:v>1740</c:v>
                </c:pt>
                <c:pt idx="5">
                  <c:v>2999</c:v>
                </c:pt>
                <c:pt idx="6">
                  <c:v>2319</c:v>
                </c:pt>
                <c:pt idx="7">
                  <c:v>988</c:v>
                </c:pt>
                <c:pt idx="8">
                  <c:v>1274</c:v>
                </c:pt>
                <c:pt idx="9">
                  <c:v>1600</c:v>
                </c:pt>
                <c:pt idx="10">
                  <c:v>799</c:v>
                </c:pt>
                <c:pt idx="11">
                  <c:v>990</c:v>
                </c:pt>
                <c:pt idx="12">
                  <c:v>552</c:v>
                </c:pt>
                <c:pt idx="13">
                  <c:v>501</c:v>
                </c:pt>
                <c:pt idx="14">
                  <c:v>1680</c:v>
                </c:pt>
                <c:pt idx="15">
                  <c:v>332</c:v>
                </c:pt>
                <c:pt idx="16">
                  <c:v>195</c:v>
                </c:pt>
                <c:pt idx="17">
                  <c:v>2025</c:v>
                </c:pt>
                <c:pt idx="18">
                  <c:v>2999</c:v>
                </c:pt>
                <c:pt idx="19">
                  <c:v>998</c:v>
                </c:pt>
                <c:pt idx="20">
                  <c:v>38</c:v>
                </c:pt>
                <c:pt idx="21">
                  <c:v>1860</c:v>
                </c:pt>
                <c:pt idx="22">
                  <c:v>880</c:v>
                </c:pt>
                <c:pt idx="23">
                  <c:v>1650</c:v>
                </c:pt>
                <c:pt idx="24">
                  <c:v>2048</c:v>
                </c:pt>
                <c:pt idx="25">
                  <c:v>420</c:v>
                </c:pt>
                <c:pt idx="26">
                  <c:v>2880</c:v>
                </c:pt>
                <c:pt idx="27">
                  <c:v>1350</c:v>
                </c:pt>
                <c:pt idx="28">
                  <c:v>1758</c:v>
                </c:pt>
                <c:pt idx="29">
                  <c:v>2200</c:v>
                </c:pt>
                <c:pt idx="30">
                  <c:v>185</c:v>
                </c:pt>
                <c:pt idx="31">
                  <c:v>980</c:v>
                </c:pt>
                <c:pt idx="32">
                  <c:v>1820</c:v>
                </c:pt>
                <c:pt idx="33">
                  <c:v>1940</c:v>
                </c:pt>
                <c:pt idx="34">
                  <c:v>1980</c:v>
                </c:pt>
                <c:pt idx="35">
                  <c:v>1620</c:v>
                </c:pt>
                <c:pt idx="36">
                  <c:v>171</c:v>
                </c:pt>
                <c:pt idx="37">
                  <c:v>389</c:v>
                </c:pt>
                <c:pt idx="38">
                  <c:v>1800</c:v>
                </c:pt>
                <c:pt idx="39">
                  <c:v>2750</c:v>
                </c:pt>
                <c:pt idx="40">
                  <c:v>475</c:v>
                </c:pt>
                <c:pt idx="41">
                  <c:v>238</c:v>
                </c:pt>
                <c:pt idx="42">
                  <c:v>610</c:v>
                </c:pt>
                <c:pt idx="43">
                  <c:v>2132</c:v>
                </c:pt>
                <c:pt idx="44">
                  <c:v>999</c:v>
                </c:pt>
                <c:pt idx="45">
                  <c:v>1190</c:v>
                </c:pt>
                <c:pt idx="46">
                  <c:v>671</c:v>
                </c:pt>
                <c:pt idx="47">
                  <c:v>1200</c:v>
                </c:pt>
                <c:pt idx="48">
                  <c:v>199</c:v>
                </c:pt>
                <c:pt idx="49">
                  <c:v>299</c:v>
                </c:pt>
                <c:pt idx="50">
                  <c:v>1660</c:v>
                </c:pt>
                <c:pt idx="51">
                  <c:v>299</c:v>
                </c:pt>
                <c:pt idx="52">
                  <c:v>1459</c:v>
                </c:pt>
                <c:pt idx="53">
                  <c:v>799</c:v>
                </c:pt>
                <c:pt idx="54">
                  <c:v>499</c:v>
                </c:pt>
                <c:pt idx="55">
                  <c:v>699</c:v>
                </c:pt>
                <c:pt idx="56">
                  <c:v>799</c:v>
                </c:pt>
                <c:pt idx="57">
                  <c:v>2799</c:v>
                </c:pt>
                <c:pt idx="58">
                  <c:v>399</c:v>
                </c:pt>
                <c:pt idx="59">
                  <c:v>2170</c:v>
                </c:pt>
                <c:pt idx="60">
                  <c:v>458</c:v>
                </c:pt>
                <c:pt idx="61">
                  <c:v>2115</c:v>
                </c:pt>
                <c:pt idx="62">
                  <c:v>445</c:v>
                </c:pt>
                <c:pt idx="63">
                  <c:v>325</c:v>
                </c:pt>
                <c:pt idx="64">
                  <c:v>1220</c:v>
                </c:pt>
                <c:pt idx="65">
                  <c:v>990</c:v>
                </c:pt>
                <c:pt idx="66">
                  <c:v>1000</c:v>
                </c:pt>
                <c:pt idx="67">
                  <c:v>3750</c:v>
                </c:pt>
                <c:pt idx="68">
                  <c:v>382</c:v>
                </c:pt>
                <c:pt idx="69">
                  <c:v>2300</c:v>
                </c:pt>
                <c:pt idx="70">
                  <c:v>345</c:v>
                </c:pt>
                <c:pt idx="71">
                  <c:v>509</c:v>
                </c:pt>
                <c:pt idx="72">
                  <c:v>968</c:v>
                </c:pt>
                <c:pt idx="73">
                  <c:v>1570</c:v>
                </c:pt>
                <c:pt idx="74">
                  <c:v>790</c:v>
                </c:pt>
                <c:pt idx="75">
                  <c:v>690</c:v>
                </c:pt>
                <c:pt idx="76">
                  <c:v>1732</c:v>
                </c:pt>
                <c:pt idx="77">
                  <c:v>230</c:v>
                </c:pt>
                <c:pt idx="78">
                  <c:v>1189</c:v>
                </c:pt>
                <c:pt idx="79">
                  <c:v>979</c:v>
                </c:pt>
                <c:pt idx="80">
                  <c:v>1460</c:v>
                </c:pt>
                <c:pt idx="81">
                  <c:v>1666</c:v>
                </c:pt>
                <c:pt idx="82">
                  <c:v>330</c:v>
                </c:pt>
                <c:pt idx="83">
                  <c:v>176</c:v>
                </c:pt>
                <c:pt idx="84">
                  <c:v>1466</c:v>
                </c:pt>
                <c:pt idx="85">
                  <c:v>274</c:v>
                </c:pt>
                <c:pt idx="86">
                  <c:v>799</c:v>
                </c:pt>
                <c:pt idx="87">
                  <c:v>657</c:v>
                </c:pt>
                <c:pt idx="88">
                  <c:v>1468</c:v>
                </c:pt>
                <c:pt idx="89">
                  <c:v>630</c:v>
                </c:pt>
                <c:pt idx="90">
                  <c:v>850</c:v>
                </c:pt>
                <c:pt idx="91">
                  <c:v>1300</c:v>
                </c:pt>
                <c:pt idx="92">
                  <c:v>105</c:v>
                </c:pt>
                <c:pt idx="93">
                  <c:v>899</c:v>
                </c:pt>
                <c:pt idx="94">
                  <c:v>1200</c:v>
                </c:pt>
                <c:pt idx="95">
                  <c:v>1526</c:v>
                </c:pt>
                <c:pt idx="96">
                  <c:v>1462</c:v>
                </c:pt>
                <c:pt idx="97">
                  <c:v>248</c:v>
                </c:pt>
                <c:pt idx="98">
                  <c:v>3546</c:v>
                </c:pt>
                <c:pt idx="99">
                  <c:v>525</c:v>
                </c:pt>
                <c:pt idx="100">
                  <c:v>1080</c:v>
                </c:pt>
                <c:pt idx="101">
                  <c:v>3640</c:v>
                </c:pt>
                <c:pt idx="102">
                  <c:v>1420</c:v>
                </c:pt>
                <c:pt idx="103">
                  <c:v>1875</c:v>
                </c:pt>
                <c:pt idx="104">
                  <c:v>198</c:v>
                </c:pt>
                <c:pt idx="105">
                  <c:v>1150</c:v>
                </c:pt>
                <c:pt idx="106">
                  <c:v>1190</c:v>
                </c:pt>
                <c:pt idx="107">
                  <c:v>1658</c:v>
                </c:pt>
                <c:pt idx="108">
                  <c:v>1768</c:v>
                </c:pt>
                <c:pt idx="109">
                  <c:v>199</c:v>
                </c:pt>
                <c:pt idx="110">
                  <c:v>450</c:v>
                </c:pt>
                <c:pt idx="111">
                  <c:v>169</c:v>
                </c:pt>
              </c:numCache>
            </c:numRef>
          </c:xVal>
          <c:yVal>
            <c:numRef>
              <c:f>'Cleaned Data'!$I$2:$I$113</c:f>
              <c:numCache>
                <c:formatCode>0.0</c:formatCode>
                <c:ptCount val="112"/>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2">
                  <c:v>4</c:v>
                </c:pt>
                <c:pt idx="23">
                  <c:v>4.4000000000000004</c:v>
                </c:pt>
                <c:pt idx="24">
                  <c:v>4.3</c:v>
                </c:pt>
                <c:pt idx="25">
                  <c:v>4.5999999999999996</c:v>
                </c:pt>
                <c:pt idx="26">
                  <c:v>3.8</c:v>
                </c:pt>
                <c:pt idx="27">
                  <c:v>3.8</c:v>
                </c:pt>
                <c:pt idx="28">
                  <c:v>4.0999999999999996</c:v>
                </c:pt>
                <c:pt idx="30">
                  <c:v>4.3</c:v>
                </c:pt>
                <c:pt idx="31">
                  <c:v>4.7</c:v>
                </c:pt>
                <c:pt idx="32">
                  <c:v>4.3</c:v>
                </c:pt>
                <c:pt idx="33">
                  <c:v>4.7</c:v>
                </c:pt>
                <c:pt idx="34">
                  <c:v>4.5</c:v>
                </c:pt>
                <c:pt idx="35">
                  <c:v>5</c:v>
                </c:pt>
                <c:pt idx="36">
                  <c:v>5</c:v>
                </c:pt>
                <c:pt idx="37">
                  <c:v>4.3</c:v>
                </c:pt>
                <c:pt idx="38">
                  <c:v>4.5</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8">
                  <c:v>3</c:v>
                </c:pt>
                <c:pt idx="79">
                  <c:v>5</c:v>
                </c:pt>
                <c:pt idx="82">
                  <c:v>4</c:v>
                </c:pt>
                <c:pt idx="101">
                  <c:v>5</c:v>
                </c:pt>
                <c:pt idx="110">
                  <c:v>2</c:v>
                </c:pt>
              </c:numCache>
            </c:numRef>
          </c:yVal>
          <c:smooth val="0"/>
          <c:extLst>
            <c:ext xmlns:c16="http://schemas.microsoft.com/office/drawing/2014/chart" uri="{C3380CC4-5D6E-409C-BE32-E72D297353CC}">
              <c16:uniqueId val="{00000002-A416-4075-BE86-606DE395A7CA}"/>
            </c:ext>
          </c:extLst>
        </c:ser>
        <c:dLbls>
          <c:showLegendKey val="0"/>
          <c:showVal val="0"/>
          <c:showCatName val="0"/>
          <c:showSerName val="0"/>
          <c:showPercent val="0"/>
          <c:showBubbleSize val="0"/>
        </c:dLbls>
        <c:axId val="544034128"/>
        <c:axId val="544037968"/>
      </c:scatterChart>
      <c:valAx>
        <c:axId val="544034128"/>
        <c:scaling>
          <c:orientation val="minMax"/>
        </c:scaling>
        <c:delete val="0"/>
        <c:axPos val="b"/>
        <c:majorGridlines>
          <c:spPr>
            <a:ln w="9525" cap="flat" cmpd="sng" algn="ctr">
              <a:solidFill>
                <a:schemeClr val="tx1">
                  <a:lumMod val="15000"/>
                  <a:lumOff val="85000"/>
                </a:schemeClr>
              </a:solidFill>
              <a:round/>
            </a:ln>
            <a:effectLst/>
          </c:spPr>
        </c:majorGridlines>
        <c:numFmt formatCode="&quot;Ksh&quot;#,##0.00" sourceLinked="1"/>
        <c:majorTickMark val="none"/>
        <c:minorTickMark val="none"/>
        <c:tickLblPos val="nextTo"/>
        <c:spPr>
          <a:noFill/>
          <a:ln w="9525" cap="flat" cmpd="sng" algn="ctr">
            <a:solidFill>
              <a:schemeClr val="tx1">
                <a:lumMod val="25000"/>
                <a:lumOff val="7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crossAx val="544037968"/>
        <c:crosses val="autoZero"/>
        <c:crossBetween val="midCat"/>
      </c:valAx>
      <c:valAx>
        <c:axId val="5440379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40341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withinLinearReversed" id="22">
  <a:schemeClr val="accent2"/>
</cs:colorStyle>
</file>

<file path=xl/charts/colors13.xml><?xml version="1.0" encoding="utf-8"?>
<cs:colorStyle xmlns:cs="http://schemas.microsoft.com/office/drawing/2012/chartStyle" xmlns:a="http://schemas.openxmlformats.org/drawingml/2006/main" meth="withinLinearReversed" id="22">
  <a:schemeClr val="accent2"/>
</cs:colorStyle>
</file>

<file path=xl/charts/colors14.xml><?xml version="1.0" encoding="utf-8"?>
<cs:colorStyle xmlns:cs="http://schemas.microsoft.com/office/drawing/2012/chartStyle" xmlns:a="http://schemas.openxmlformats.org/drawingml/2006/main" meth="withinLinearReversed" id="22">
  <a:schemeClr val="accent2"/>
</cs:colorStyle>
</file>

<file path=xl/charts/colors15.xml><?xml version="1.0" encoding="utf-8"?>
<cs:colorStyle xmlns:cs="http://schemas.microsoft.com/office/drawing/2012/chartStyle" xmlns:a="http://schemas.openxmlformats.org/drawingml/2006/main" meth="withinLinearReversed" id="22">
  <a:schemeClr val="accent2"/>
</cs:colorStyle>
</file>

<file path=xl/charts/colors16.xml><?xml version="1.0" encoding="utf-8"?>
<cs:colorStyle xmlns:cs="http://schemas.microsoft.com/office/drawing/2012/chartStyle" xmlns:a="http://schemas.openxmlformats.org/drawingml/2006/main" meth="withinLinearReversed" id="22">
  <a:schemeClr val="accent2"/>
</cs:colorStyle>
</file>

<file path=xl/charts/colors17.xml><?xml version="1.0" encoding="utf-8"?>
<cs:colorStyle xmlns:cs="http://schemas.microsoft.com/office/drawing/2012/chartStyle" xmlns:a="http://schemas.openxmlformats.org/drawingml/2006/main" meth="withinLinearReversed" id="22">
  <a:schemeClr val="accent2"/>
</cs:colorStyle>
</file>

<file path=xl/charts/colors18.xml><?xml version="1.0" encoding="utf-8"?>
<cs:colorStyle xmlns:cs="http://schemas.microsoft.com/office/drawing/2012/chartStyle" xmlns:a="http://schemas.openxmlformats.org/drawingml/2006/main" meth="withinLinearReversed" id="22">
  <a:schemeClr val="accent2"/>
</cs:colorStyle>
</file>

<file path=xl/charts/colors19.xml><?xml version="1.0" encoding="utf-8"?>
<cs:colorStyle xmlns:cs="http://schemas.microsoft.com/office/drawing/2012/chartStyle" xmlns:a="http://schemas.openxmlformats.org/drawingml/2006/main" meth="withinLinearReversed" id="22">
  <a:schemeClr val="accent2"/>
</cs:colorStyle>
</file>

<file path=xl/charts/colors20.xml><?xml version="1.0" encoding="utf-8"?>
<cs:colorStyle xmlns:cs="http://schemas.microsoft.com/office/drawing/2012/chartStyle" xmlns:a="http://schemas.openxmlformats.org/drawingml/2006/main" meth="withinLinearReversed" id="22">
  <a:schemeClr val="accent2"/>
</cs:colorStyle>
</file>

<file path=xl/charts/colors21.xml><?xml version="1.0" encoding="utf-8"?>
<cs:colorStyle xmlns:cs="http://schemas.microsoft.com/office/drawing/2012/chartStyle" xmlns:a="http://schemas.openxmlformats.org/drawingml/2006/main" meth="withinLinearReversed" id="22">
  <a:schemeClr val="accent2"/>
</cs:colorStyle>
</file>

<file path=xl/charts/colors22.xml><?xml version="1.0" encoding="utf-8"?>
<cs:colorStyle xmlns:cs="http://schemas.microsoft.com/office/drawing/2012/chartStyle" xmlns:a="http://schemas.openxmlformats.org/drawingml/2006/main" meth="withinLinearReversed" id="22">
  <a:schemeClr val="accent2"/>
</cs:colorStyle>
</file>

<file path=xl/charts/colors23.xml><?xml version="1.0" encoding="utf-8"?>
<cs:colorStyle xmlns:cs="http://schemas.microsoft.com/office/drawing/2012/chartStyle" xmlns:a="http://schemas.openxmlformats.org/drawingml/2006/main" meth="withinLinearReversed" id="22">
  <a:schemeClr val="accent2"/>
</cs:colorStyle>
</file>

<file path=xl/charts/colors24.xml><?xml version="1.0" encoding="utf-8"?>
<cs:colorStyle xmlns:cs="http://schemas.microsoft.com/office/drawing/2012/chartStyle" xmlns:a="http://schemas.openxmlformats.org/drawingml/2006/main" meth="withinLinearReversed" id="22">
  <a:schemeClr val="accent2"/>
</cs:colorStyle>
</file>

<file path=xl/charts/colors25.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6</xdr:col>
      <xdr:colOff>224367</xdr:colOff>
      <xdr:row>33</xdr:row>
      <xdr:rowOff>34925</xdr:rowOff>
    </xdr:from>
    <xdr:to>
      <xdr:col>14</xdr:col>
      <xdr:colOff>266700</xdr:colOff>
      <xdr:row>45</xdr:row>
      <xdr:rowOff>12700</xdr:rowOff>
    </xdr:to>
    <xdr:graphicFrame macro="">
      <xdr:nvGraphicFramePr>
        <xdr:cNvPr id="2" name="Chart 1">
          <a:extLst>
            <a:ext uri="{FF2B5EF4-FFF2-40B4-BE49-F238E27FC236}">
              <a16:creationId xmlns:a16="http://schemas.microsoft.com/office/drawing/2014/main" id="{FE21EA1B-EC13-71CF-196F-1983E59D26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561975</xdr:colOff>
      <xdr:row>41</xdr:row>
      <xdr:rowOff>183092</xdr:rowOff>
    </xdr:from>
    <xdr:to>
      <xdr:col>5</xdr:col>
      <xdr:colOff>379941</xdr:colOff>
      <xdr:row>56</xdr:row>
      <xdr:rowOff>164042</xdr:rowOff>
    </xdr:to>
    <xdr:graphicFrame macro="">
      <xdr:nvGraphicFramePr>
        <xdr:cNvPr id="3" name="Chart 2">
          <a:extLst>
            <a:ext uri="{FF2B5EF4-FFF2-40B4-BE49-F238E27FC236}">
              <a16:creationId xmlns:a16="http://schemas.microsoft.com/office/drawing/2014/main" id="{A057C1BB-081B-7133-36FB-EC465C3434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365279</xdr:colOff>
      <xdr:row>0</xdr:row>
      <xdr:rowOff>0</xdr:rowOff>
    </xdr:from>
    <xdr:to>
      <xdr:col>14</xdr:col>
      <xdr:colOff>45790</xdr:colOff>
      <xdr:row>14</xdr:row>
      <xdr:rowOff>165100</xdr:rowOff>
    </xdr:to>
    <xdr:graphicFrame macro="">
      <xdr:nvGraphicFramePr>
        <xdr:cNvPr id="4" name="Chart 3">
          <a:extLst>
            <a:ext uri="{FF2B5EF4-FFF2-40B4-BE49-F238E27FC236}">
              <a16:creationId xmlns:a16="http://schemas.microsoft.com/office/drawing/2014/main" id="{E8A5EB1F-C993-1CAD-59A6-EDB54EE57C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4691592</xdr:colOff>
      <xdr:row>41</xdr:row>
      <xdr:rowOff>13758</xdr:rowOff>
    </xdr:from>
    <xdr:to>
      <xdr:col>4</xdr:col>
      <xdr:colOff>2287059</xdr:colOff>
      <xdr:row>55</xdr:row>
      <xdr:rowOff>185208</xdr:rowOff>
    </xdr:to>
    <xdr:graphicFrame macro="">
      <xdr:nvGraphicFramePr>
        <xdr:cNvPr id="5" name="Chart 4">
          <a:extLst>
            <a:ext uri="{FF2B5EF4-FFF2-40B4-BE49-F238E27FC236}">
              <a16:creationId xmlns:a16="http://schemas.microsoft.com/office/drawing/2014/main" id="{7030EE2D-BECA-9DBB-EAA3-7E8FD7735D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2625725</xdr:colOff>
      <xdr:row>45</xdr:row>
      <xdr:rowOff>53976</xdr:rowOff>
    </xdr:from>
    <xdr:to>
      <xdr:col>7</xdr:col>
      <xdr:colOff>174625</xdr:colOff>
      <xdr:row>60</xdr:row>
      <xdr:rowOff>24343</xdr:rowOff>
    </xdr:to>
    <xdr:graphicFrame macro="">
      <xdr:nvGraphicFramePr>
        <xdr:cNvPr id="6" name="Chart 5">
          <a:extLst>
            <a:ext uri="{FF2B5EF4-FFF2-40B4-BE49-F238E27FC236}">
              <a16:creationId xmlns:a16="http://schemas.microsoft.com/office/drawing/2014/main" id="{BCE5AAAB-23F9-EB38-1B8F-9720069CB0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221192</xdr:colOff>
      <xdr:row>17</xdr:row>
      <xdr:rowOff>43392</xdr:rowOff>
    </xdr:from>
    <xdr:to>
      <xdr:col>13</xdr:col>
      <xdr:colOff>490008</xdr:colOff>
      <xdr:row>32</xdr:row>
      <xdr:rowOff>24342</xdr:rowOff>
    </xdr:to>
    <xdr:graphicFrame macro="">
      <xdr:nvGraphicFramePr>
        <xdr:cNvPr id="7" name="Chart 6">
          <a:extLst>
            <a:ext uri="{FF2B5EF4-FFF2-40B4-BE49-F238E27FC236}">
              <a16:creationId xmlns:a16="http://schemas.microsoft.com/office/drawing/2014/main" id="{6E1AC05F-859A-FF55-0F08-83914D9A19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508000</xdr:colOff>
      <xdr:row>45</xdr:row>
      <xdr:rowOff>142876</xdr:rowOff>
    </xdr:from>
    <xdr:to>
      <xdr:col>16</xdr:col>
      <xdr:colOff>1031875</xdr:colOff>
      <xdr:row>67</xdr:row>
      <xdr:rowOff>123826</xdr:rowOff>
    </xdr:to>
    <xdr:graphicFrame macro="">
      <xdr:nvGraphicFramePr>
        <xdr:cNvPr id="8" name="Chart 7">
          <a:extLst>
            <a:ext uri="{FF2B5EF4-FFF2-40B4-BE49-F238E27FC236}">
              <a16:creationId xmlns:a16="http://schemas.microsoft.com/office/drawing/2014/main" id="{B109E18D-8A3A-ABA3-0FD3-15F355BC10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2289175</xdr:colOff>
      <xdr:row>46</xdr:row>
      <xdr:rowOff>23813</xdr:rowOff>
    </xdr:from>
    <xdr:to>
      <xdr:col>1</xdr:col>
      <xdr:colOff>4141788</xdr:colOff>
      <xdr:row>53</xdr:row>
      <xdr:rowOff>33338</xdr:rowOff>
    </xdr:to>
    <mc:AlternateContent xmlns:mc="http://schemas.openxmlformats.org/markup-compatibility/2006" xmlns:a14="http://schemas.microsoft.com/office/drawing/2010/main">
      <mc:Choice Requires="a14">
        <xdr:graphicFrame macro="">
          <xdr:nvGraphicFramePr>
            <xdr:cNvPr id="9" name="Price Category">
              <a:extLst>
                <a:ext uri="{FF2B5EF4-FFF2-40B4-BE49-F238E27FC236}">
                  <a16:creationId xmlns:a16="http://schemas.microsoft.com/office/drawing/2014/main" id="{4B77F82B-27B6-4363-D155-EA3A5BE29865}"/>
                </a:ext>
              </a:extLst>
            </xdr:cNvPr>
            <xdr:cNvGraphicFramePr/>
          </xdr:nvGraphicFramePr>
          <xdr:xfrm>
            <a:off x="0" y="0"/>
            <a:ext cx="0" cy="0"/>
          </xdr:xfrm>
          <a:graphic>
            <a:graphicData uri="http://schemas.microsoft.com/office/drawing/2010/slicer">
              <sle:slicer xmlns:sle="http://schemas.microsoft.com/office/drawing/2010/slicer" name="Price Category"/>
            </a:graphicData>
          </a:graphic>
        </xdr:graphicFrame>
      </mc:Choice>
      <mc:Fallback xmlns="">
        <xdr:sp macro="" textlink="">
          <xdr:nvSpPr>
            <xdr:cNvPr id="0" name=""/>
            <xdr:cNvSpPr>
              <a:spLocks noTextEdit="1"/>
            </xdr:cNvSpPr>
          </xdr:nvSpPr>
          <xdr:spPr>
            <a:xfrm>
              <a:off x="3559175" y="8786813"/>
              <a:ext cx="1852613" cy="13430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1217613</xdr:colOff>
      <xdr:row>48</xdr:row>
      <xdr:rowOff>120651</xdr:rowOff>
    </xdr:from>
    <xdr:to>
      <xdr:col>1</xdr:col>
      <xdr:colOff>1741488</xdr:colOff>
      <xdr:row>56</xdr:row>
      <xdr:rowOff>58739</xdr:rowOff>
    </xdr:to>
    <mc:AlternateContent xmlns:mc="http://schemas.openxmlformats.org/markup-compatibility/2006" xmlns:a14="http://schemas.microsoft.com/office/drawing/2010/main">
      <mc:Choice Requires="a14">
        <xdr:graphicFrame macro="">
          <xdr:nvGraphicFramePr>
            <xdr:cNvPr id="10" name="Discount">
              <a:extLst>
                <a:ext uri="{FF2B5EF4-FFF2-40B4-BE49-F238E27FC236}">
                  <a16:creationId xmlns:a16="http://schemas.microsoft.com/office/drawing/2014/main" id="{6F2A1481-A530-FE8C-60E6-3A50D6325214}"/>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1217613" y="9264651"/>
              <a:ext cx="1793875" cy="1462088"/>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2106613</xdr:colOff>
      <xdr:row>37</xdr:row>
      <xdr:rowOff>130171</xdr:rowOff>
    </xdr:from>
    <xdr:to>
      <xdr:col>1</xdr:col>
      <xdr:colOff>3924300</xdr:colOff>
      <xdr:row>44</xdr:row>
      <xdr:rowOff>123822</xdr:rowOff>
    </xdr:to>
    <mc:AlternateContent xmlns:mc="http://schemas.openxmlformats.org/markup-compatibility/2006" xmlns:a14="http://schemas.microsoft.com/office/drawing/2010/main">
      <mc:Choice Requires="a14">
        <xdr:graphicFrame macro="">
          <xdr:nvGraphicFramePr>
            <xdr:cNvPr id="11" name="Discount Category">
              <a:extLst>
                <a:ext uri="{FF2B5EF4-FFF2-40B4-BE49-F238E27FC236}">
                  <a16:creationId xmlns:a16="http://schemas.microsoft.com/office/drawing/2014/main" id="{066B99C6-2CE3-D033-9283-6131325A2F8F}"/>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3376613" y="7178671"/>
              <a:ext cx="1817687" cy="132715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22226</xdr:colOff>
      <xdr:row>37</xdr:row>
      <xdr:rowOff>107949</xdr:rowOff>
    </xdr:from>
    <xdr:to>
      <xdr:col>1</xdr:col>
      <xdr:colOff>1847851</xdr:colOff>
      <xdr:row>46</xdr:row>
      <xdr:rowOff>141288</xdr:rowOff>
    </xdr:to>
    <mc:AlternateContent xmlns:mc="http://schemas.openxmlformats.org/markup-compatibility/2006" xmlns:a14="http://schemas.microsoft.com/office/drawing/2010/main">
      <mc:Choice Requires="a14">
        <xdr:graphicFrame macro="">
          <xdr:nvGraphicFramePr>
            <xdr:cNvPr id="12" name="Rating Category">
              <a:extLst>
                <a:ext uri="{FF2B5EF4-FFF2-40B4-BE49-F238E27FC236}">
                  <a16:creationId xmlns:a16="http://schemas.microsoft.com/office/drawing/2014/main" id="{E6226B65-8F9D-265B-7CDF-84D24C911F4F}"/>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1292226" y="7156449"/>
              <a:ext cx="1825625" cy="174783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8</xdr:col>
      <xdr:colOff>298450</xdr:colOff>
      <xdr:row>16</xdr:row>
      <xdr:rowOff>76200</xdr:rowOff>
    </xdr:to>
    <xdr:graphicFrame macro="">
      <xdr:nvGraphicFramePr>
        <xdr:cNvPr id="2" name="Chart 1">
          <a:extLst>
            <a:ext uri="{FF2B5EF4-FFF2-40B4-BE49-F238E27FC236}">
              <a16:creationId xmlns:a16="http://schemas.microsoft.com/office/drawing/2014/main" id="{C061789E-FC62-46A3-8EB3-A70573983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6350</xdr:colOff>
      <xdr:row>16</xdr:row>
      <xdr:rowOff>146050</xdr:rowOff>
    </xdr:from>
    <xdr:to>
      <xdr:col>8</xdr:col>
      <xdr:colOff>304800</xdr:colOff>
      <xdr:row>32</xdr:row>
      <xdr:rowOff>38100</xdr:rowOff>
    </xdr:to>
    <xdr:graphicFrame macro="">
      <xdr:nvGraphicFramePr>
        <xdr:cNvPr id="3" name="Chart 2">
          <a:extLst>
            <a:ext uri="{FF2B5EF4-FFF2-40B4-BE49-F238E27FC236}">
              <a16:creationId xmlns:a16="http://schemas.microsoft.com/office/drawing/2014/main" id="{766CB4C4-2758-42B6-813E-312F171A6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50800</xdr:colOff>
      <xdr:row>33</xdr:row>
      <xdr:rowOff>44450</xdr:rowOff>
    </xdr:from>
    <xdr:to>
      <xdr:col>8</xdr:col>
      <xdr:colOff>349250</xdr:colOff>
      <xdr:row>48</xdr:row>
      <xdr:rowOff>120650</xdr:rowOff>
    </xdr:to>
    <xdr:graphicFrame macro="">
      <xdr:nvGraphicFramePr>
        <xdr:cNvPr id="4" name="Chart 3">
          <a:extLst>
            <a:ext uri="{FF2B5EF4-FFF2-40B4-BE49-F238E27FC236}">
              <a16:creationId xmlns:a16="http://schemas.microsoft.com/office/drawing/2014/main" id="{8967033E-AC0D-477B-ABAF-314E4199D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225652</xdr:colOff>
      <xdr:row>2</xdr:row>
      <xdr:rowOff>82776</xdr:rowOff>
    </xdr:from>
    <xdr:to>
      <xdr:col>26</xdr:col>
      <xdr:colOff>207510</xdr:colOff>
      <xdr:row>11</xdr:row>
      <xdr:rowOff>118381</xdr:rowOff>
    </xdr:to>
    <xdr:graphicFrame macro="">
      <xdr:nvGraphicFramePr>
        <xdr:cNvPr id="5" name="Chart 4">
          <a:extLst>
            <a:ext uri="{FF2B5EF4-FFF2-40B4-BE49-F238E27FC236}">
              <a16:creationId xmlns:a16="http://schemas.microsoft.com/office/drawing/2014/main" id="{9B8E5697-936A-49E6-9468-4F5877A98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507470</xdr:colOff>
      <xdr:row>18</xdr:row>
      <xdr:rowOff>116417</xdr:rowOff>
    </xdr:from>
    <xdr:to>
      <xdr:col>16</xdr:col>
      <xdr:colOff>338667</xdr:colOff>
      <xdr:row>32</xdr:row>
      <xdr:rowOff>87843</xdr:rowOff>
    </xdr:to>
    <xdr:graphicFrame macro="">
      <xdr:nvGraphicFramePr>
        <xdr:cNvPr id="6" name="Chart 5">
          <a:extLst>
            <a:ext uri="{FF2B5EF4-FFF2-40B4-BE49-F238E27FC236}">
              <a16:creationId xmlns:a16="http://schemas.microsoft.com/office/drawing/2014/main" id="{9C5FC5F7-08A3-4A1F-98A0-9B47A45232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589116</xdr:colOff>
      <xdr:row>13</xdr:row>
      <xdr:rowOff>65087</xdr:rowOff>
    </xdr:from>
    <xdr:to>
      <xdr:col>27</xdr:col>
      <xdr:colOff>333127</xdr:colOff>
      <xdr:row>28</xdr:row>
      <xdr:rowOff>134938</xdr:rowOff>
    </xdr:to>
    <xdr:graphicFrame macro="">
      <xdr:nvGraphicFramePr>
        <xdr:cNvPr id="7" name="Chart 6">
          <a:extLst>
            <a:ext uri="{FF2B5EF4-FFF2-40B4-BE49-F238E27FC236}">
              <a16:creationId xmlns:a16="http://schemas.microsoft.com/office/drawing/2014/main" id="{A3EFF8FA-E832-4355-835C-DF1005BDE3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261938</xdr:colOff>
      <xdr:row>51</xdr:row>
      <xdr:rowOff>54429</xdr:rowOff>
    </xdr:from>
    <xdr:to>
      <xdr:col>18</xdr:col>
      <xdr:colOff>72572</xdr:colOff>
      <xdr:row>65</xdr:row>
      <xdr:rowOff>69095</xdr:rowOff>
    </xdr:to>
    <xdr:graphicFrame macro="">
      <xdr:nvGraphicFramePr>
        <xdr:cNvPr id="8" name="Chart 7">
          <a:extLst>
            <a:ext uri="{FF2B5EF4-FFF2-40B4-BE49-F238E27FC236}">
              <a16:creationId xmlns:a16="http://schemas.microsoft.com/office/drawing/2014/main" id="{3B8C9B4B-CBC1-4E8D-BE97-4562E32D2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598487</xdr:colOff>
      <xdr:row>2</xdr:row>
      <xdr:rowOff>12700</xdr:rowOff>
    </xdr:from>
    <xdr:to>
      <xdr:col>16</xdr:col>
      <xdr:colOff>127000</xdr:colOff>
      <xdr:row>16</xdr:row>
      <xdr:rowOff>56093</xdr:rowOff>
    </xdr:to>
    <xdr:graphicFrame macro="">
      <xdr:nvGraphicFramePr>
        <xdr:cNvPr id="9" name="Chart 8">
          <a:extLst>
            <a:ext uri="{FF2B5EF4-FFF2-40B4-BE49-F238E27FC236}">
              <a16:creationId xmlns:a16="http://schemas.microsoft.com/office/drawing/2014/main" id="{549D0642-2DB4-40E6-8940-C3C5EBDB5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592137</xdr:colOff>
      <xdr:row>34</xdr:row>
      <xdr:rowOff>169333</xdr:rowOff>
    </xdr:from>
    <xdr:to>
      <xdr:col>17</xdr:col>
      <xdr:colOff>21166</xdr:colOff>
      <xdr:row>49</xdr:row>
      <xdr:rowOff>34925</xdr:rowOff>
    </xdr:to>
    <xdr:graphicFrame macro="">
      <xdr:nvGraphicFramePr>
        <xdr:cNvPr id="10" name="Chart 9">
          <a:extLst>
            <a:ext uri="{FF2B5EF4-FFF2-40B4-BE49-F238E27FC236}">
              <a16:creationId xmlns:a16="http://schemas.microsoft.com/office/drawing/2014/main" id="{EA154E10-0A0F-4AEA-9D73-6C5B701D7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558801</xdr:colOff>
      <xdr:row>51</xdr:row>
      <xdr:rowOff>9072</xdr:rowOff>
    </xdr:from>
    <xdr:to>
      <xdr:col>10</xdr:col>
      <xdr:colOff>208643</xdr:colOff>
      <xdr:row>65</xdr:row>
      <xdr:rowOff>34925</xdr:rowOff>
    </xdr:to>
    <xdr:graphicFrame macro="">
      <xdr:nvGraphicFramePr>
        <xdr:cNvPr id="11" name="Chart 10">
          <a:extLst>
            <a:ext uri="{FF2B5EF4-FFF2-40B4-BE49-F238E27FC236}">
              <a16:creationId xmlns:a16="http://schemas.microsoft.com/office/drawing/2014/main" id="{4ACEDDBB-E567-4337-9169-5DBCCEB9D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374650</xdr:colOff>
      <xdr:row>0</xdr:row>
      <xdr:rowOff>19051</xdr:rowOff>
    </xdr:from>
    <xdr:to>
      <xdr:col>10</xdr:col>
      <xdr:colOff>552450</xdr:colOff>
      <xdr:row>2</xdr:row>
      <xdr:rowOff>6351</xdr:rowOff>
    </xdr:to>
    <xdr:sp macro="" textlink="">
      <xdr:nvSpPr>
        <xdr:cNvPr id="2" name="Rectangle: Rounded Corners 1">
          <a:extLst>
            <a:ext uri="{FF2B5EF4-FFF2-40B4-BE49-F238E27FC236}">
              <a16:creationId xmlns:a16="http://schemas.microsoft.com/office/drawing/2014/main" id="{7C156BB2-9804-9673-E2AD-752276835417}"/>
            </a:ext>
          </a:extLst>
        </xdr:cNvPr>
        <xdr:cNvSpPr/>
      </xdr:nvSpPr>
      <xdr:spPr>
        <a:xfrm>
          <a:off x="374650" y="19051"/>
          <a:ext cx="10991850" cy="3556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JUMIA PRODUCT PERFORMANCE REVIEW DASHBOARD</a:t>
          </a:r>
          <a:endParaRPr lang="en-KE" sz="2400" b="1"/>
        </a:p>
      </xdr:txBody>
    </xdr:sp>
    <xdr:clientData/>
  </xdr:twoCellAnchor>
  <xdr:twoCellAnchor>
    <xdr:from>
      <xdr:col>4</xdr:col>
      <xdr:colOff>647700</xdr:colOff>
      <xdr:row>2</xdr:row>
      <xdr:rowOff>57151</xdr:rowOff>
    </xdr:from>
    <xdr:to>
      <xdr:col>4</xdr:col>
      <xdr:colOff>2246693</xdr:colOff>
      <xdr:row>5</xdr:row>
      <xdr:rowOff>114300</xdr:rowOff>
    </xdr:to>
    <xdr:grpSp>
      <xdr:nvGrpSpPr>
        <xdr:cNvPr id="27" name="Group 26">
          <a:extLst>
            <a:ext uri="{FF2B5EF4-FFF2-40B4-BE49-F238E27FC236}">
              <a16:creationId xmlns:a16="http://schemas.microsoft.com/office/drawing/2014/main" id="{916C353D-2309-D1CE-4476-C792699EF758}"/>
            </a:ext>
          </a:extLst>
        </xdr:cNvPr>
        <xdr:cNvGrpSpPr/>
      </xdr:nvGrpSpPr>
      <xdr:grpSpPr>
        <a:xfrm>
          <a:off x="3074811" y="424040"/>
          <a:ext cx="1598993" cy="607482"/>
          <a:chOff x="628650" y="793750"/>
          <a:chExt cx="1854200" cy="901700"/>
        </a:xfrm>
      </xdr:grpSpPr>
      <xdr:grpSp>
        <xdr:nvGrpSpPr>
          <xdr:cNvPr id="14" name="Group 13">
            <a:extLst>
              <a:ext uri="{FF2B5EF4-FFF2-40B4-BE49-F238E27FC236}">
                <a16:creationId xmlns:a16="http://schemas.microsoft.com/office/drawing/2014/main" id="{2AC2FE7C-538C-C71D-DD5D-C95F679C5CE0}"/>
              </a:ext>
            </a:extLst>
          </xdr:cNvPr>
          <xdr:cNvGrpSpPr/>
        </xdr:nvGrpSpPr>
        <xdr:grpSpPr>
          <a:xfrm>
            <a:off x="628650" y="793750"/>
            <a:ext cx="1854200" cy="901700"/>
            <a:chOff x="628650" y="793750"/>
            <a:chExt cx="1854200" cy="901700"/>
          </a:xfrm>
        </xdr:grpSpPr>
        <xdr:sp macro="" textlink="">
          <xdr:nvSpPr>
            <xdr:cNvPr id="4" name="Rectangle: Top Corners Rounded 3">
              <a:extLst>
                <a:ext uri="{FF2B5EF4-FFF2-40B4-BE49-F238E27FC236}">
                  <a16:creationId xmlns:a16="http://schemas.microsoft.com/office/drawing/2014/main" id="{33027D19-9319-3659-F4C8-F44B9FD4D0B4}"/>
                </a:ext>
              </a:extLst>
            </xdr:cNvPr>
            <xdr:cNvSpPr/>
          </xdr:nvSpPr>
          <xdr:spPr>
            <a:xfrm>
              <a:off x="628650" y="793750"/>
              <a:ext cx="1847850" cy="381000"/>
            </a:xfrm>
            <a:prstGeom prst="round2Same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Average Current</a:t>
              </a:r>
              <a:r>
                <a:rPr lang="en-US" sz="1200" b="1" baseline="0"/>
                <a:t> Price</a:t>
              </a:r>
              <a:endParaRPr lang="en-US" sz="1200" b="1"/>
            </a:p>
          </xdr:txBody>
        </xdr:sp>
        <xdr:sp macro="" textlink="">
          <xdr:nvSpPr>
            <xdr:cNvPr id="9" name="Rectangle 8">
              <a:extLst>
                <a:ext uri="{FF2B5EF4-FFF2-40B4-BE49-F238E27FC236}">
                  <a16:creationId xmlns:a16="http://schemas.microsoft.com/office/drawing/2014/main" id="{FD75377E-9992-2841-9AEA-5F4EF7B4E684}"/>
                </a:ext>
              </a:extLst>
            </xdr:cNvPr>
            <xdr:cNvSpPr/>
          </xdr:nvSpPr>
          <xdr:spPr>
            <a:xfrm>
              <a:off x="628650" y="1200150"/>
              <a:ext cx="1854200" cy="495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050"/>
            </a:p>
          </xdr:txBody>
        </xdr:sp>
      </xdr:grpSp>
      <xdr:sp macro="" textlink="Analysis!$B$9">
        <xdr:nvSpPr>
          <xdr:cNvPr id="19" name="TextBox 18">
            <a:extLst>
              <a:ext uri="{FF2B5EF4-FFF2-40B4-BE49-F238E27FC236}">
                <a16:creationId xmlns:a16="http://schemas.microsoft.com/office/drawing/2014/main" id="{A27319D7-319E-B242-7EF4-3CA8FF0CD15F}"/>
              </a:ext>
            </a:extLst>
          </xdr:cNvPr>
          <xdr:cNvSpPr txBox="1"/>
        </xdr:nvSpPr>
        <xdr:spPr>
          <a:xfrm>
            <a:off x="793750" y="1270000"/>
            <a:ext cx="152400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D9B16F-5236-40A4-AD89-3ADC99CB6640}" type="TxLink">
              <a:rPr lang="en-US" sz="1400" b="1" i="0" u="none" strike="noStrike">
                <a:solidFill>
                  <a:srgbClr val="000000"/>
                </a:solidFill>
                <a:latin typeface="Aptos Narrow"/>
              </a:rPr>
              <a:pPr algn="ctr"/>
              <a:t>Ksh1,186.89</a:t>
            </a:fld>
            <a:endParaRPr lang="en-KE" sz="1400" b="1"/>
          </a:p>
        </xdr:txBody>
      </xdr:sp>
    </xdr:grpSp>
    <xdr:clientData/>
  </xdr:twoCellAnchor>
  <xdr:twoCellAnchor>
    <xdr:from>
      <xdr:col>4</xdr:col>
      <xdr:colOff>2327109</xdr:colOff>
      <xdr:row>2</xdr:row>
      <xdr:rowOff>57151</xdr:rowOff>
    </xdr:from>
    <xdr:to>
      <xdr:col>4</xdr:col>
      <xdr:colOff>3670187</xdr:colOff>
      <xdr:row>5</xdr:row>
      <xdr:rowOff>114300</xdr:rowOff>
    </xdr:to>
    <xdr:grpSp>
      <xdr:nvGrpSpPr>
        <xdr:cNvPr id="24" name="Group 23">
          <a:extLst>
            <a:ext uri="{FF2B5EF4-FFF2-40B4-BE49-F238E27FC236}">
              <a16:creationId xmlns:a16="http://schemas.microsoft.com/office/drawing/2014/main" id="{04AADE72-9180-0831-1D8E-4CAF257EA630}"/>
            </a:ext>
          </a:extLst>
        </xdr:cNvPr>
        <xdr:cNvGrpSpPr/>
      </xdr:nvGrpSpPr>
      <xdr:grpSpPr>
        <a:xfrm>
          <a:off x="4754220" y="424040"/>
          <a:ext cx="1343078" cy="607482"/>
          <a:chOff x="4551840" y="781050"/>
          <a:chExt cx="1531459" cy="901700"/>
        </a:xfrm>
      </xdr:grpSpPr>
      <xdr:grpSp>
        <xdr:nvGrpSpPr>
          <xdr:cNvPr id="16" name="Group 15">
            <a:extLst>
              <a:ext uri="{FF2B5EF4-FFF2-40B4-BE49-F238E27FC236}">
                <a16:creationId xmlns:a16="http://schemas.microsoft.com/office/drawing/2014/main" id="{763A0A03-ED61-1E7B-CB4F-AED0CE43D685}"/>
              </a:ext>
            </a:extLst>
          </xdr:cNvPr>
          <xdr:cNvGrpSpPr/>
        </xdr:nvGrpSpPr>
        <xdr:grpSpPr>
          <a:xfrm>
            <a:off x="4551840" y="781050"/>
            <a:ext cx="1531459" cy="901700"/>
            <a:chOff x="4552950" y="781050"/>
            <a:chExt cx="1855544" cy="901700"/>
          </a:xfrm>
        </xdr:grpSpPr>
        <xdr:sp macro="" textlink="">
          <xdr:nvSpPr>
            <xdr:cNvPr id="6" name="Rectangle: Top Corners Rounded 5">
              <a:extLst>
                <a:ext uri="{FF2B5EF4-FFF2-40B4-BE49-F238E27FC236}">
                  <a16:creationId xmlns:a16="http://schemas.microsoft.com/office/drawing/2014/main" id="{ABDAFF8D-8AAA-435A-9235-BD50386DB435}"/>
                </a:ext>
              </a:extLst>
            </xdr:cNvPr>
            <xdr:cNvSpPr/>
          </xdr:nvSpPr>
          <xdr:spPr>
            <a:xfrm>
              <a:off x="4552950" y="781050"/>
              <a:ext cx="1847850" cy="381000"/>
            </a:xfrm>
            <a:prstGeom prst="round2Same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Average Discount</a:t>
              </a:r>
            </a:p>
          </xdr:txBody>
        </xdr:sp>
        <xdr:sp macro="" textlink="">
          <xdr:nvSpPr>
            <xdr:cNvPr id="11" name="Rectangle 10">
              <a:extLst>
                <a:ext uri="{FF2B5EF4-FFF2-40B4-BE49-F238E27FC236}">
                  <a16:creationId xmlns:a16="http://schemas.microsoft.com/office/drawing/2014/main" id="{6B288AF9-76C4-47C2-B4D0-8D695461A35B}"/>
                </a:ext>
              </a:extLst>
            </xdr:cNvPr>
            <xdr:cNvSpPr/>
          </xdr:nvSpPr>
          <xdr:spPr>
            <a:xfrm>
              <a:off x="4554294" y="1187450"/>
              <a:ext cx="1854200" cy="495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050"/>
            </a:p>
          </xdr:txBody>
        </xdr:sp>
      </xdr:grpSp>
      <xdr:sp macro="" textlink="Analysis!$B$11">
        <xdr:nvSpPr>
          <xdr:cNvPr id="21" name="TextBox 20">
            <a:extLst>
              <a:ext uri="{FF2B5EF4-FFF2-40B4-BE49-F238E27FC236}">
                <a16:creationId xmlns:a16="http://schemas.microsoft.com/office/drawing/2014/main" id="{B1EE9179-8EED-4F75-AAA3-4E57F6A06632}"/>
              </a:ext>
            </a:extLst>
          </xdr:cNvPr>
          <xdr:cNvSpPr txBox="1"/>
        </xdr:nvSpPr>
        <xdr:spPr>
          <a:xfrm>
            <a:off x="4641850" y="1270000"/>
            <a:ext cx="135255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F7417A-85DC-4F48-8FDA-D2AAAB5B925B}" type="TxLink">
              <a:rPr lang="en-US" sz="1400" b="1" i="0" u="none" strike="noStrike">
                <a:solidFill>
                  <a:srgbClr val="000000"/>
                </a:solidFill>
                <a:latin typeface="Aptos Narrow"/>
              </a:rPr>
              <a:pPr algn="ctr"/>
              <a:t>37%</a:t>
            </a:fld>
            <a:endParaRPr lang="en-KE" sz="2000" b="1"/>
          </a:p>
        </xdr:txBody>
      </xdr:sp>
    </xdr:grpSp>
    <xdr:clientData/>
  </xdr:twoCellAnchor>
  <xdr:twoCellAnchor>
    <xdr:from>
      <xdr:col>4</xdr:col>
      <xdr:colOff>3750523</xdr:colOff>
      <xdr:row>2</xdr:row>
      <xdr:rowOff>63501</xdr:rowOff>
    </xdr:from>
    <xdr:to>
      <xdr:col>5</xdr:col>
      <xdr:colOff>470221</xdr:colOff>
      <xdr:row>5</xdr:row>
      <xdr:rowOff>120650</xdr:rowOff>
    </xdr:to>
    <xdr:grpSp>
      <xdr:nvGrpSpPr>
        <xdr:cNvPr id="25" name="Group 24">
          <a:extLst>
            <a:ext uri="{FF2B5EF4-FFF2-40B4-BE49-F238E27FC236}">
              <a16:creationId xmlns:a16="http://schemas.microsoft.com/office/drawing/2014/main" id="{A37E44D0-E498-06A9-6920-9C22D98DD621}"/>
            </a:ext>
          </a:extLst>
        </xdr:cNvPr>
        <xdr:cNvGrpSpPr/>
      </xdr:nvGrpSpPr>
      <xdr:grpSpPr>
        <a:xfrm>
          <a:off x="6177634" y="430390"/>
          <a:ext cx="1207031" cy="607482"/>
          <a:chOff x="6508750" y="781050"/>
          <a:chExt cx="1530350" cy="901700"/>
        </a:xfrm>
      </xdr:grpSpPr>
      <xdr:grpSp>
        <xdr:nvGrpSpPr>
          <xdr:cNvPr id="17" name="Group 16">
            <a:extLst>
              <a:ext uri="{FF2B5EF4-FFF2-40B4-BE49-F238E27FC236}">
                <a16:creationId xmlns:a16="http://schemas.microsoft.com/office/drawing/2014/main" id="{D0BF000D-60AE-CA36-150F-9AD9F8A5ECEC}"/>
              </a:ext>
            </a:extLst>
          </xdr:cNvPr>
          <xdr:cNvGrpSpPr/>
        </xdr:nvGrpSpPr>
        <xdr:grpSpPr>
          <a:xfrm>
            <a:off x="6508750" y="781050"/>
            <a:ext cx="1530350" cy="901700"/>
            <a:chOff x="6508750" y="781050"/>
            <a:chExt cx="1854200" cy="901700"/>
          </a:xfrm>
        </xdr:grpSpPr>
        <xdr:sp macro="" textlink="">
          <xdr:nvSpPr>
            <xdr:cNvPr id="5" name="Rectangle: Top Corners Rounded 4">
              <a:extLst>
                <a:ext uri="{FF2B5EF4-FFF2-40B4-BE49-F238E27FC236}">
                  <a16:creationId xmlns:a16="http://schemas.microsoft.com/office/drawing/2014/main" id="{65E9D6BE-E5C2-495B-AA1A-590F04E3973F}"/>
                </a:ext>
              </a:extLst>
            </xdr:cNvPr>
            <xdr:cNvSpPr/>
          </xdr:nvSpPr>
          <xdr:spPr>
            <a:xfrm>
              <a:off x="6508750" y="781050"/>
              <a:ext cx="1847850" cy="381000"/>
            </a:xfrm>
            <a:prstGeom prst="round2Same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Total Reviews</a:t>
              </a:r>
            </a:p>
          </xdr:txBody>
        </xdr:sp>
        <xdr:sp macro="" textlink="">
          <xdr:nvSpPr>
            <xdr:cNvPr id="12" name="Rectangle 11">
              <a:extLst>
                <a:ext uri="{FF2B5EF4-FFF2-40B4-BE49-F238E27FC236}">
                  <a16:creationId xmlns:a16="http://schemas.microsoft.com/office/drawing/2014/main" id="{350CD5C9-F131-46DF-A3E9-3B9934AF1AE9}"/>
                </a:ext>
              </a:extLst>
            </xdr:cNvPr>
            <xdr:cNvSpPr/>
          </xdr:nvSpPr>
          <xdr:spPr>
            <a:xfrm>
              <a:off x="6508750" y="1187450"/>
              <a:ext cx="1854200" cy="495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050"/>
            </a:p>
          </xdr:txBody>
        </xdr:sp>
      </xdr:grpSp>
      <xdr:sp macro="" textlink="Analysis!$B$13">
        <xdr:nvSpPr>
          <xdr:cNvPr id="22" name="TextBox 21">
            <a:extLst>
              <a:ext uri="{FF2B5EF4-FFF2-40B4-BE49-F238E27FC236}">
                <a16:creationId xmlns:a16="http://schemas.microsoft.com/office/drawing/2014/main" id="{5EB1A5BB-CB77-4F55-BF53-B102587B19C6}"/>
              </a:ext>
            </a:extLst>
          </xdr:cNvPr>
          <xdr:cNvSpPr txBox="1"/>
        </xdr:nvSpPr>
        <xdr:spPr>
          <a:xfrm>
            <a:off x="6673850" y="1257300"/>
            <a:ext cx="120650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9CDE8F-29D0-44E4-83E9-D6FF58EB977E}" type="TxLink">
              <a:rPr lang="en-US" sz="1400" b="1" i="0" u="none" strike="noStrike">
                <a:solidFill>
                  <a:srgbClr val="000000"/>
                </a:solidFill>
                <a:latin typeface="Aptos Narrow"/>
              </a:rPr>
              <a:pPr algn="ctr"/>
              <a:t>723</a:t>
            </a:fld>
            <a:endParaRPr lang="en-KE" sz="2000" b="1"/>
          </a:p>
        </xdr:txBody>
      </xdr:sp>
    </xdr:grpSp>
    <xdr:clientData/>
  </xdr:twoCellAnchor>
  <xdr:twoCellAnchor>
    <xdr:from>
      <xdr:col>5</xdr:col>
      <xdr:colOff>558800</xdr:colOff>
      <xdr:row>2</xdr:row>
      <xdr:rowOff>69851</xdr:rowOff>
    </xdr:from>
    <xdr:to>
      <xdr:col>6</xdr:col>
      <xdr:colOff>281957</xdr:colOff>
      <xdr:row>5</xdr:row>
      <xdr:rowOff>127000</xdr:rowOff>
    </xdr:to>
    <xdr:grpSp>
      <xdr:nvGrpSpPr>
        <xdr:cNvPr id="26" name="Group 25">
          <a:extLst>
            <a:ext uri="{FF2B5EF4-FFF2-40B4-BE49-F238E27FC236}">
              <a16:creationId xmlns:a16="http://schemas.microsoft.com/office/drawing/2014/main" id="{39A9739A-B5BE-4CF5-60DA-A209127EB009}"/>
            </a:ext>
          </a:extLst>
        </xdr:cNvPr>
        <xdr:cNvGrpSpPr/>
      </xdr:nvGrpSpPr>
      <xdr:grpSpPr>
        <a:xfrm>
          <a:off x="7473244" y="436740"/>
          <a:ext cx="1169546" cy="607482"/>
          <a:chOff x="8509000" y="781050"/>
          <a:chExt cx="1530350" cy="901700"/>
        </a:xfrm>
      </xdr:grpSpPr>
      <xdr:grpSp>
        <xdr:nvGrpSpPr>
          <xdr:cNvPr id="18" name="Group 17">
            <a:extLst>
              <a:ext uri="{FF2B5EF4-FFF2-40B4-BE49-F238E27FC236}">
                <a16:creationId xmlns:a16="http://schemas.microsoft.com/office/drawing/2014/main" id="{A7A3A62C-94B0-6298-BC86-167CA50CA68D}"/>
              </a:ext>
            </a:extLst>
          </xdr:cNvPr>
          <xdr:cNvGrpSpPr/>
        </xdr:nvGrpSpPr>
        <xdr:grpSpPr>
          <a:xfrm>
            <a:off x="8509000" y="781050"/>
            <a:ext cx="1530350" cy="901700"/>
            <a:chOff x="8509000" y="781050"/>
            <a:chExt cx="1854200" cy="901700"/>
          </a:xfrm>
        </xdr:grpSpPr>
        <xdr:sp macro="" textlink="">
          <xdr:nvSpPr>
            <xdr:cNvPr id="8" name="Rectangle: Top Corners Rounded 7">
              <a:extLst>
                <a:ext uri="{FF2B5EF4-FFF2-40B4-BE49-F238E27FC236}">
                  <a16:creationId xmlns:a16="http://schemas.microsoft.com/office/drawing/2014/main" id="{79A163DC-4315-4FBF-B039-5D69D1F8C2BE}"/>
                </a:ext>
              </a:extLst>
            </xdr:cNvPr>
            <xdr:cNvSpPr/>
          </xdr:nvSpPr>
          <xdr:spPr>
            <a:xfrm>
              <a:off x="8509000" y="781050"/>
              <a:ext cx="1847850" cy="381000"/>
            </a:xfrm>
            <a:prstGeom prst="round2Same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Average Rating</a:t>
              </a:r>
            </a:p>
          </xdr:txBody>
        </xdr:sp>
        <xdr:sp macro="" textlink="">
          <xdr:nvSpPr>
            <xdr:cNvPr id="13" name="Rectangle 12">
              <a:extLst>
                <a:ext uri="{FF2B5EF4-FFF2-40B4-BE49-F238E27FC236}">
                  <a16:creationId xmlns:a16="http://schemas.microsoft.com/office/drawing/2014/main" id="{41B59895-4FD0-4AAC-A823-B918AFD0F5F9}"/>
                </a:ext>
              </a:extLst>
            </xdr:cNvPr>
            <xdr:cNvSpPr/>
          </xdr:nvSpPr>
          <xdr:spPr>
            <a:xfrm>
              <a:off x="8509000" y="1187450"/>
              <a:ext cx="1854200" cy="495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050"/>
            </a:p>
          </xdr:txBody>
        </xdr:sp>
      </xdr:grpSp>
      <xdr:sp macro="" textlink="Analysis!$B$12">
        <xdr:nvSpPr>
          <xdr:cNvPr id="23" name="TextBox 22">
            <a:extLst>
              <a:ext uri="{FF2B5EF4-FFF2-40B4-BE49-F238E27FC236}">
                <a16:creationId xmlns:a16="http://schemas.microsoft.com/office/drawing/2014/main" id="{F07CE3A7-D05F-4FF1-BBB3-8829DA45D7A4}"/>
              </a:ext>
            </a:extLst>
          </xdr:cNvPr>
          <xdr:cNvSpPr txBox="1"/>
        </xdr:nvSpPr>
        <xdr:spPr>
          <a:xfrm>
            <a:off x="8699500" y="1257300"/>
            <a:ext cx="114300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95219F-4881-472E-86E8-9EF10969CB02}" type="TxLink">
              <a:rPr lang="en-US" sz="1400" b="1" i="0" u="none" strike="noStrike">
                <a:solidFill>
                  <a:schemeClr val="tx1"/>
                </a:solidFill>
                <a:latin typeface="Aptos Narrow"/>
              </a:rPr>
              <a:pPr algn="ctr"/>
              <a:t>3.9</a:t>
            </a:fld>
            <a:endParaRPr lang="en-KE" sz="2000" b="1">
              <a:solidFill>
                <a:schemeClr val="tx1"/>
              </a:solidFill>
            </a:endParaRPr>
          </a:p>
        </xdr:txBody>
      </xdr:sp>
    </xdr:grpSp>
    <xdr:clientData/>
  </xdr:twoCellAnchor>
  <xdr:twoCellAnchor>
    <xdr:from>
      <xdr:col>2</xdr:col>
      <xdr:colOff>203200</xdr:colOff>
      <xdr:row>2</xdr:row>
      <xdr:rowOff>69851</xdr:rowOff>
    </xdr:from>
    <xdr:to>
      <xdr:col>4</xdr:col>
      <xdr:colOff>573361</xdr:colOff>
      <xdr:row>5</xdr:row>
      <xdr:rowOff>104629</xdr:rowOff>
    </xdr:to>
    <xdr:grpSp>
      <xdr:nvGrpSpPr>
        <xdr:cNvPr id="30" name="Group 29">
          <a:extLst>
            <a:ext uri="{FF2B5EF4-FFF2-40B4-BE49-F238E27FC236}">
              <a16:creationId xmlns:a16="http://schemas.microsoft.com/office/drawing/2014/main" id="{D8771CC3-B4D7-4B20-8759-161D833F74E8}"/>
            </a:ext>
          </a:extLst>
        </xdr:cNvPr>
        <xdr:cNvGrpSpPr/>
      </xdr:nvGrpSpPr>
      <xdr:grpSpPr>
        <a:xfrm>
          <a:off x="1416756" y="436740"/>
          <a:ext cx="1583716" cy="585111"/>
          <a:chOff x="622300" y="793750"/>
          <a:chExt cx="1854200" cy="901700"/>
        </a:xfrm>
      </xdr:grpSpPr>
      <xdr:grpSp>
        <xdr:nvGrpSpPr>
          <xdr:cNvPr id="31" name="Group 30">
            <a:extLst>
              <a:ext uri="{FF2B5EF4-FFF2-40B4-BE49-F238E27FC236}">
                <a16:creationId xmlns:a16="http://schemas.microsoft.com/office/drawing/2014/main" id="{F19A1FE5-F28E-DCEC-41C7-247B7DA13D4D}"/>
              </a:ext>
            </a:extLst>
          </xdr:cNvPr>
          <xdr:cNvGrpSpPr/>
        </xdr:nvGrpSpPr>
        <xdr:grpSpPr>
          <a:xfrm>
            <a:off x="622300" y="793750"/>
            <a:ext cx="1854200" cy="901700"/>
            <a:chOff x="622300" y="793750"/>
            <a:chExt cx="1854200" cy="901700"/>
          </a:xfrm>
        </xdr:grpSpPr>
        <xdr:sp macro="" textlink="">
          <xdr:nvSpPr>
            <xdr:cNvPr id="33" name="Rectangle: Top Corners Rounded 32">
              <a:extLst>
                <a:ext uri="{FF2B5EF4-FFF2-40B4-BE49-F238E27FC236}">
                  <a16:creationId xmlns:a16="http://schemas.microsoft.com/office/drawing/2014/main" id="{9EDB0CEF-DE36-4230-F3F6-737243FB5B68}"/>
                </a:ext>
              </a:extLst>
            </xdr:cNvPr>
            <xdr:cNvSpPr/>
          </xdr:nvSpPr>
          <xdr:spPr>
            <a:xfrm>
              <a:off x="628650" y="793750"/>
              <a:ext cx="1847850" cy="381000"/>
            </a:xfrm>
            <a:prstGeom prst="round2Same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Total No. of Products</a:t>
              </a:r>
            </a:p>
          </xdr:txBody>
        </xdr:sp>
        <xdr:sp macro="" textlink="">
          <xdr:nvSpPr>
            <xdr:cNvPr id="34" name="Rectangle 33">
              <a:extLst>
                <a:ext uri="{FF2B5EF4-FFF2-40B4-BE49-F238E27FC236}">
                  <a16:creationId xmlns:a16="http://schemas.microsoft.com/office/drawing/2014/main" id="{F4636F42-AD74-6C1C-4EEA-B4D305CE6409}"/>
                </a:ext>
              </a:extLst>
            </xdr:cNvPr>
            <xdr:cNvSpPr/>
          </xdr:nvSpPr>
          <xdr:spPr>
            <a:xfrm>
              <a:off x="622300" y="1200150"/>
              <a:ext cx="1854200" cy="495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050"/>
            </a:p>
          </xdr:txBody>
        </xdr:sp>
      </xdr:grpSp>
      <xdr:sp macro="" textlink="Analysis!$B$8">
        <xdr:nvSpPr>
          <xdr:cNvPr id="32" name="TextBox 31">
            <a:extLst>
              <a:ext uri="{FF2B5EF4-FFF2-40B4-BE49-F238E27FC236}">
                <a16:creationId xmlns:a16="http://schemas.microsoft.com/office/drawing/2014/main" id="{8F2B3C83-B53E-8321-1298-1C032010C9CB}"/>
              </a:ext>
            </a:extLst>
          </xdr:cNvPr>
          <xdr:cNvSpPr txBox="1"/>
        </xdr:nvSpPr>
        <xdr:spPr>
          <a:xfrm>
            <a:off x="793750" y="1270000"/>
            <a:ext cx="152400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E9F73D-8EFB-412A-8D29-F185AB4B0D7A}" type="TxLink">
              <a:rPr lang="en-US" sz="1400" b="1" i="0" u="none" strike="noStrike">
                <a:solidFill>
                  <a:srgbClr val="1F2328"/>
                </a:solidFill>
                <a:latin typeface="Aptos Narrow"/>
              </a:rPr>
              <a:pPr algn="ctr"/>
              <a:t>112</a:t>
            </a:fld>
            <a:endParaRPr lang="en-KE" sz="2000" b="1"/>
          </a:p>
        </xdr:txBody>
      </xdr:sp>
    </xdr:grpSp>
    <xdr:clientData/>
  </xdr:twoCellAnchor>
  <xdr:twoCellAnchor editAs="oneCell">
    <xdr:from>
      <xdr:col>0</xdr:col>
      <xdr:colOff>0</xdr:colOff>
      <xdr:row>13</xdr:row>
      <xdr:rowOff>100188</xdr:rowOff>
    </xdr:from>
    <xdr:to>
      <xdr:col>1</xdr:col>
      <xdr:colOff>539398</xdr:colOff>
      <xdr:row>20</xdr:row>
      <xdr:rowOff>49389</xdr:rowOff>
    </xdr:to>
    <mc:AlternateContent xmlns:mc="http://schemas.openxmlformats.org/markup-compatibility/2006" xmlns:a14="http://schemas.microsoft.com/office/drawing/2010/main">
      <mc:Choice Requires="a14">
        <xdr:graphicFrame macro="">
          <xdr:nvGraphicFramePr>
            <xdr:cNvPr id="67" name="Discount Category 1">
              <a:extLst>
                <a:ext uri="{FF2B5EF4-FFF2-40B4-BE49-F238E27FC236}">
                  <a16:creationId xmlns:a16="http://schemas.microsoft.com/office/drawing/2014/main" id="{9A020429-3225-4BC8-8F0B-16F54F9535C1}"/>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0" y="2494138"/>
              <a:ext cx="1148998" cy="123825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21165</xdr:colOff>
      <xdr:row>3</xdr:row>
      <xdr:rowOff>70563</xdr:rowOff>
    </xdr:from>
    <xdr:to>
      <xdr:col>1</xdr:col>
      <xdr:colOff>535515</xdr:colOff>
      <xdr:row>13</xdr:row>
      <xdr:rowOff>42339</xdr:rowOff>
    </xdr:to>
    <mc:AlternateContent xmlns:mc="http://schemas.openxmlformats.org/markup-compatibility/2006" xmlns:a14="http://schemas.microsoft.com/office/drawing/2010/main">
      <mc:Choice Requires="a14">
        <xdr:graphicFrame macro="">
          <xdr:nvGraphicFramePr>
            <xdr:cNvPr id="68" name="Rating Category 1">
              <a:extLst>
                <a:ext uri="{FF2B5EF4-FFF2-40B4-BE49-F238E27FC236}">
                  <a16:creationId xmlns:a16="http://schemas.microsoft.com/office/drawing/2014/main" id="{CC4F1ADF-E838-4E93-951F-8566705744BA}"/>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21165" y="623013"/>
              <a:ext cx="1123950" cy="181327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11995</xdr:colOff>
      <xdr:row>20</xdr:row>
      <xdr:rowOff>112184</xdr:rowOff>
    </xdr:from>
    <xdr:to>
      <xdr:col>1</xdr:col>
      <xdr:colOff>539044</xdr:colOff>
      <xdr:row>25</xdr:row>
      <xdr:rowOff>19050</xdr:rowOff>
    </xdr:to>
    <mc:AlternateContent xmlns:mc="http://schemas.openxmlformats.org/markup-compatibility/2006" xmlns:a14="http://schemas.microsoft.com/office/drawing/2010/main">
      <mc:Choice Requires="a14">
        <xdr:graphicFrame macro="">
          <xdr:nvGraphicFramePr>
            <xdr:cNvPr id="70" name="Price Category 2">
              <a:extLst>
                <a:ext uri="{FF2B5EF4-FFF2-40B4-BE49-F238E27FC236}">
                  <a16:creationId xmlns:a16="http://schemas.microsoft.com/office/drawing/2014/main" id="{6B0D7F3F-C9A6-4193-A12F-B5FB0687A378}"/>
                </a:ext>
              </a:extLst>
            </xdr:cNvPr>
            <xdr:cNvGraphicFramePr/>
          </xdr:nvGraphicFramePr>
          <xdr:xfrm>
            <a:off x="0" y="0"/>
            <a:ext cx="0" cy="0"/>
          </xdr:xfrm>
          <a:graphic>
            <a:graphicData uri="http://schemas.microsoft.com/office/drawing/2010/slicer">
              <sle:slicer xmlns:sle="http://schemas.microsoft.com/office/drawing/2010/slicer" name="Price Category 2"/>
            </a:graphicData>
          </a:graphic>
        </xdr:graphicFrame>
      </mc:Choice>
      <mc:Fallback xmlns="">
        <xdr:sp macro="" textlink="">
          <xdr:nvSpPr>
            <xdr:cNvPr id="0" name=""/>
            <xdr:cNvSpPr>
              <a:spLocks noTextEdit="1"/>
            </xdr:cNvSpPr>
          </xdr:nvSpPr>
          <xdr:spPr>
            <a:xfrm>
              <a:off x="11995" y="3795184"/>
              <a:ext cx="1136649" cy="82761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2336801</xdr:colOff>
      <xdr:row>5</xdr:row>
      <xdr:rowOff>177800</xdr:rowOff>
    </xdr:from>
    <xdr:to>
      <xdr:col>5</xdr:col>
      <xdr:colOff>63500</xdr:colOff>
      <xdr:row>15</xdr:row>
      <xdr:rowOff>107950</xdr:rowOff>
    </xdr:to>
    <xdr:graphicFrame macro="">
      <xdr:nvGraphicFramePr>
        <xdr:cNvPr id="71" name="Chart 70">
          <a:extLst>
            <a:ext uri="{FF2B5EF4-FFF2-40B4-BE49-F238E27FC236}">
              <a16:creationId xmlns:a16="http://schemas.microsoft.com/office/drawing/2014/main" id="{5963DC3C-F63C-4A6F-AFF8-B3C50554D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92605</xdr:colOff>
      <xdr:row>5</xdr:row>
      <xdr:rowOff>176442</xdr:rowOff>
    </xdr:from>
    <xdr:to>
      <xdr:col>6</xdr:col>
      <xdr:colOff>546100</xdr:colOff>
      <xdr:row>15</xdr:row>
      <xdr:rowOff>95250</xdr:rowOff>
    </xdr:to>
    <xdr:graphicFrame macro="">
      <xdr:nvGraphicFramePr>
        <xdr:cNvPr id="72" name="Chart 71">
          <a:extLst>
            <a:ext uri="{FF2B5EF4-FFF2-40B4-BE49-F238E27FC236}">
              <a16:creationId xmlns:a16="http://schemas.microsoft.com/office/drawing/2014/main" id="{8AE9CF82-7F6C-4649-A5B7-23C6399ED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13680</xdr:colOff>
      <xdr:row>5</xdr:row>
      <xdr:rowOff>182149</xdr:rowOff>
    </xdr:from>
    <xdr:to>
      <xdr:col>4</xdr:col>
      <xdr:colOff>2317748</xdr:colOff>
      <xdr:row>15</xdr:row>
      <xdr:rowOff>119552</xdr:rowOff>
    </xdr:to>
    <xdr:graphicFrame macro="">
      <xdr:nvGraphicFramePr>
        <xdr:cNvPr id="75" name="Chart 74">
          <a:extLst>
            <a:ext uri="{FF2B5EF4-FFF2-40B4-BE49-F238E27FC236}">
              <a16:creationId xmlns:a16="http://schemas.microsoft.com/office/drawing/2014/main" id="{CBD2F98C-BF9C-444A-8707-11564AB32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577850</xdr:colOff>
      <xdr:row>2</xdr:row>
      <xdr:rowOff>177800</xdr:rowOff>
    </xdr:from>
    <xdr:to>
      <xdr:col>11</xdr:col>
      <xdr:colOff>247650</xdr:colOff>
      <xdr:row>15</xdr:row>
      <xdr:rowOff>114300</xdr:rowOff>
    </xdr:to>
    <xdr:graphicFrame macro="">
      <xdr:nvGraphicFramePr>
        <xdr:cNvPr id="76" name="Chart 75">
          <a:extLst>
            <a:ext uri="{FF2B5EF4-FFF2-40B4-BE49-F238E27FC236}">
              <a16:creationId xmlns:a16="http://schemas.microsoft.com/office/drawing/2014/main" id="{85F25844-AC29-4CCC-8441-2AAC5A766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2363146</xdr:colOff>
      <xdr:row>15</xdr:row>
      <xdr:rowOff>137057</xdr:rowOff>
    </xdr:from>
    <xdr:to>
      <xdr:col>5</xdr:col>
      <xdr:colOff>1397000</xdr:colOff>
      <xdr:row>25</xdr:row>
      <xdr:rowOff>6350</xdr:rowOff>
    </xdr:to>
    <xdr:graphicFrame macro="">
      <xdr:nvGraphicFramePr>
        <xdr:cNvPr id="77" name="Chart 76">
          <a:extLst>
            <a:ext uri="{FF2B5EF4-FFF2-40B4-BE49-F238E27FC236}">
              <a16:creationId xmlns:a16="http://schemas.microsoft.com/office/drawing/2014/main" id="{9BCA97CC-9490-43FD-8CCA-80C3B5542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6350</xdr:colOff>
      <xdr:row>15</xdr:row>
      <xdr:rowOff>158750</xdr:rowOff>
    </xdr:from>
    <xdr:to>
      <xdr:col>4</xdr:col>
      <xdr:colOff>2349500</xdr:colOff>
      <xdr:row>24</xdr:row>
      <xdr:rowOff>184149</xdr:rowOff>
    </xdr:to>
    <xdr:graphicFrame macro="">
      <xdr:nvGraphicFramePr>
        <xdr:cNvPr id="3" name="Chart 2">
          <a:extLst>
            <a:ext uri="{FF2B5EF4-FFF2-40B4-BE49-F238E27FC236}">
              <a16:creationId xmlns:a16="http://schemas.microsoft.com/office/drawing/2014/main" id="{92CCEC17-CE0E-4C83-BB84-14174175C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2212976</xdr:colOff>
      <xdr:row>25</xdr:row>
      <xdr:rowOff>50800</xdr:rowOff>
    </xdr:from>
    <xdr:to>
      <xdr:col>5</xdr:col>
      <xdr:colOff>1292226</xdr:colOff>
      <xdr:row>34</xdr:row>
      <xdr:rowOff>139700</xdr:rowOff>
    </xdr:to>
    <xdr:graphicFrame macro="">
      <xdr:nvGraphicFramePr>
        <xdr:cNvPr id="29" name="Chart 28">
          <a:extLst>
            <a:ext uri="{FF2B5EF4-FFF2-40B4-BE49-F238E27FC236}">
              <a16:creationId xmlns:a16="http://schemas.microsoft.com/office/drawing/2014/main" id="{3CA23677-EFFA-43AC-A09A-88675662B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1422400</xdr:colOff>
      <xdr:row>15</xdr:row>
      <xdr:rowOff>127001</xdr:rowOff>
    </xdr:from>
    <xdr:to>
      <xdr:col>11</xdr:col>
      <xdr:colOff>266700</xdr:colOff>
      <xdr:row>24</xdr:row>
      <xdr:rowOff>171451</xdr:rowOff>
    </xdr:to>
    <xdr:graphicFrame macro="">
      <xdr:nvGraphicFramePr>
        <xdr:cNvPr id="45" name="Chart 44">
          <a:extLst>
            <a:ext uri="{FF2B5EF4-FFF2-40B4-BE49-F238E27FC236}">
              <a16:creationId xmlns:a16="http://schemas.microsoft.com/office/drawing/2014/main" id="{9281D0E0-49A0-4229-821B-AE1DF5300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325444</xdr:colOff>
      <xdr:row>25</xdr:row>
      <xdr:rowOff>82549</xdr:rowOff>
    </xdr:from>
    <xdr:to>
      <xdr:col>4</xdr:col>
      <xdr:colOff>2174881</xdr:colOff>
      <xdr:row>34</xdr:row>
      <xdr:rowOff>133349</xdr:rowOff>
    </xdr:to>
    <xdr:sp macro="" textlink="">
      <xdr:nvSpPr>
        <xdr:cNvPr id="7" name="Rectangle 6">
          <a:extLst>
            <a:ext uri="{FF2B5EF4-FFF2-40B4-BE49-F238E27FC236}">
              <a16:creationId xmlns:a16="http://schemas.microsoft.com/office/drawing/2014/main" id="{9B7E9484-1B81-17C5-5D17-83707BCB052F}"/>
            </a:ext>
          </a:extLst>
        </xdr:cNvPr>
        <xdr:cNvSpPr/>
      </xdr:nvSpPr>
      <xdr:spPr>
        <a:xfrm>
          <a:off x="936632" y="4646612"/>
          <a:ext cx="3682999" cy="1693862"/>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u="sng">
              <a:solidFill>
                <a:schemeClr val="tx1"/>
              </a:solidFill>
            </a:rPr>
            <a:t>Key Insights</a:t>
          </a:r>
        </a:p>
        <a:p>
          <a:r>
            <a:rPr lang="en-US" sz="1100" b="0" i="0">
              <a:solidFill>
                <a:schemeClr val="tx1"/>
              </a:solidFill>
              <a:effectLst/>
              <a:latin typeface="+mn-lt"/>
              <a:ea typeface="+mn-ea"/>
              <a:cs typeface="+mn-cs"/>
            </a:rPr>
            <a:t>1. High discounts do not mean a high number of reviews or better engagement. </a:t>
          </a:r>
        </a:p>
        <a:p>
          <a:endParaRPr lang="en-US" sz="1100" b="0" i="0">
            <a:solidFill>
              <a:schemeClr val="tx1"/>
            </a:solidFill>
            <a:effectLst/>
            <a:latin typeface="+mn-lt"/>
            <a:ea typeface="+mn-ea"/>
            <a:cs typeface="+mn-cs"/>
          </a:endParaRPr>
        </a:p>
        <a:p>
          <a:r>
            <a:rPr lang="en-US" sz="1100" b="0" i="0">
              <a:solidFill>
                <a:schemeClr val="tx1"/>
              </a:solidFill>
              <a:effectLst/>
              <a:latin typeface="+mn-lt"/>
              <a:ea typeface="+mn-ea"/>
              <a:cs typeface="+mn-cs"/>
            </a:rPr>
            <a:t>2. There is a weak relationship that establishes no pattern between rating and reviews.</a:t>
          </a:r>
        </a:p>
        <a:p>
          <a:endParaRPr lang="en-US" sz="1100" b="0" i="0">
            <a:solidFill>
              <a:schemeClr val="tx1"/>
            </a:solidFill>
            <a:effectLst/>
            <a:latin typeface="+mn-lt"/>
            <a:ea typeface="+mn-ea"/>
            <a:cs typeface="+mn-cs"/>
          </a:endParaRPr>
        </a:p>
        <a:p>
          <a:r>
            <a:rPr lang="en-US" sz="1100" b="0" i="0">
              <a:solidFill>
                <a:schemeClr val="tx1"/>
              </a:solidFill>
              <a:effectLst/>
              <a:latin typeface="+mn-lt"/>
              <a:ea typeface="+mn-ea"/>
              <a:cs typeface="+mn-cs"/>
            </a:rPr>
            <a:t>3. The analysis establishes a weak positive correlation between prices and ratings of 0.11.</a:t>
          </a:r>
          <a:endParaRPr lang="en-KE" sz="1100" b="0" u="none">
            <a:solidFill>
              <a:schemeClr val="tx1"/>
            </a:solidFill>
          </a:endParaRPr>
        </a:p>
      </xdr:txBody>
    </xdr:sp>
    <xdr:clientData/>
  </xdr:twoCellAnchor>
  <xdr:twoCellAnchor>
    <xdr:from>
      <xdr:col>5</xdr:col>
      <xdr:colOff>1343028</xdr:colOff>
      <xdr:row>25</xdr:row>
      <xdr:rowOff>52387</xdr:rowOff>
    </xdr:from>
    <xdr:to>
      <xdr:col>11</xdr:col>
      <xdr:colOff>325437</xdr:colOff>
      <xdr:row>34</xdr:row>
      <xdr:rowOff>103187</xdr:rowOff>
    </xdr:to>
    <xdr:sp macro="" textlink="">
      <xdr:nvSpPr>
        <xdr:cNvPr id="10" name="Rectangle 9">
          <a:extLst>
            <a:ext uri="{FF2B5EF4-FFF2-40B4-BE49-F238E27FC236}">
              <a16:creationId xmlns:a16="http://schemas.microsoft.com/office/drawing/2014/main" id="{F8A1D515-FAAC-427A-B79A-865F1CADF4BF}"/>
            </a:ext>
          </a:extLst>
        </xdr:cNvPr>
        <xdr:cNvSpPr/>
      </xdr:nvSpPr>
      <xdr:spPr>
        <a:xfrm>
          <a:off x="8280403" y="4616450"/>
          <a:ext cx="3482972" cy="1693862"/>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u="sng">
              <a:solidFill>
                <a:schemeClr val="tx1"/>
              </a:solidFill>
            </a:rPr>
            <a:t>Busiess Recommendations</a:t>
          </a:r>
        </a:p>
        <a:p>
          <a:r>
            <a:rPr lang="en-US" sz="1100" b="0" i="0">
              <a:solidFill>
                <a:schemeClr val="tx1"/>
              </a:solidFill>
              <a:effectLst/>
              <a:latin typeface="+mn-lt"/>
              <a:ea typeface="+mn-ea"/>
              <a:cs typeface="+mn-cs"/>
            </a:rPr>
            <a:t>1.</a:t>
          </a:r>
          <a:r>
            <a:rPr lang="en-US" sz="1100" b="0" i="0" baseline="0">
              <a:solidFill>
                <a:schemeClr val="tx1"/>
              </a:solidFill>
              <a:effectLst/>
              <a:latin typeface="+mn-lt"/>
              <a:ea typeface="+mn-ea"/>
              <a:cs typeface="+mn-cs"/>
            </a:rPr>
            <a:t> </a:t>
          </a:r>
          <a:r>
            <a:rPr lang="en-US" sz="1100" b="0" i="0">
              <a:solidFill>
                <a:schemeClr val="tx1"/>
              </a:solidFill>
              <a:effectLst/>
              <a:latin typeface="+mn-lt"/>
              <a:ea typeface="+mn-ea"/>
              <a:cs typeface="+mn-cs"/>
            </a:rPr>
            <a:t>Investigate quality issues on highly discounted products but have low ratings.</a:t>
          </a:r>
        </a:p>
        <a:p>
          <a:r>
            <a:rPr lang="en-US" sz="1100" b="0" i="0">
              <a:solidFill>
                <a:schemeClr val="tx1"/>
              </a:solidFill>
              <a:effectLst/>
              <a:latin typeface="+mn-lt"/>
              <a:ea typeface="+mn-ea"/>
              <a:cs typeface="+mn-cs"/>
            </a:rPr>
            <a:t>2. Find out why highly rated products have higher prices than the averagely and lowly rated products. Does this influence come from sales made?</a:t>
          </a:r>
        </a:p>
        <a:p>
          <a:r>
            <a:rPr lang="en-US" sz="1100" b="0" i="0">
              <a:solidFill>
                <a:schemeClr val="tx1"/>
              </a:solidFill>
              <a:effectLst/>
              <a:latin typeface="+mn-lt"/>
              <a:ea typeface="+mn-ea"/>
              <a:cs typeface="+mn-cs"/>
            </a:rPr>
            <a:t>3. Combine promotions of products with low ratings and higher prices to increase engagement and check if they can translate to sales.</a:t>
          </a:r>
        </a:p>
        <a:p>
          <a:br>
            <a:rPr lang="en-US" b="0">
              <a:solidFill>
                <a:schemeClr val="tx1"/>
              </a:solidFill>
            </a:rPr>
          </a:br>
          <a:endParaRPr lang="en-KE" sz="1100" b="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soft Technologies" refreshedDate="46270.282535300925" createdVersion="8" refreshedVersion="8" minRefreshableVersion="3" recordCount="112" xr:uid="{363567BA-9CED-4F45-82F2-11A6FD353EB2}">
  <cacheSource type="worksheet">
    <worksheetSource name="tblProducts"/>
  </cacheSource>
  <cacheFields count="10">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65">
      <sharedItems containsSemiMixedTypes="0" containsString="0" containsNumber="1" containsInteger="1" minValue="38" maxValue="3750"/>
    </cacheField>
    <cacheField name="Old Price" numFmtId="165">
      <sharedItems containsSemiMixedTypes="0" containsString="0" containsNumber="1" containsInteger="1" minValue="80" maxValue="6143"/>
    </cacheField>
    <cacheField name="Price Category" numFmtId="165">
      <sharedItems count="3">
        <s v="Medium Price"/>
        <s v="High Price"/>
        <s v="Low Price"/>
      </sharedItems>
    </cacheField>
    <cacheField name="Discount Amount" numFmtId="165">
      <sharedItems containsSemiMixedTypes="0" containsString="0" containsNumber="1" containsInteger="1" minValue="24" maxValue="2585"/>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cacheField>
    <cacheField name="Discount Category" numFmtId="9">
      <sharedItems count="3">
        <s v="Medium Discount"/>
        <s v="High Discount"/>
        <s v="Low Discount"/>
      </sharedItems>
    </cacheField>
    <cacheField name="Review" numFmtId="1">
      <sharedItems containsMixedTypes="1" containsNumber="1" containsInteger="1" minValue="1" maxValue="69" count="24">
        <n v="2"/>
        <n v="14"/>
        <n v="24"/>
        <n v="7"/>
        <n v="5"/>
        <n v="15"/>
        <n v="55"/>
        <n v="12"/>
        <n v="39"/>
        <n v="6"/>
        <n v="9"/>
        <n v="3"/>
        <n v="44"/>
        <n v="13"/>
        <s v=""/>
        <n v="49"/>
        <n v="20"/>
        <n v="32"/>
        <n v="1"/>
        <n v="36"/>
        <n v="10"/>
        <n v="69"/>
        <n v="16"/>
        <n v="17"/>
      </sharedItems>
    </cacheField>
    <cacheField name="Rating" numFmtId="164">
      <sharedItems containsString="0" containsBlank="1" containsNumber="1" minValue="2" maxValue="5" count="23">
        <n v="4.5"/>
        <n v="4.0999999999999996"/>
        <n v="4.5999999999999996"/>
        <n v="4.7"/>
        <n v="4.8"/>
        <n v="4"/>
        <n v="3.8"/>
        <n v="4.2"/>
        <n v="5"/>
        <n v="3.3"/>
        <m/>
        <n v="4.4000000000000004"/>
        <n v="4.3"/>
        <n v="2.5"/>
        <n v="3"/>
        <n v="2.1"/>
        <n v="2.8"/>
        <n v="2.7"/>
        <n v="2.9"/>
        <n v="2.2000000000000002"/>
        <n v="2.2999999999999998"/>
        <n v="2.6"/>
        <n v="2"/>
      </sharedItems>
    </cacheField>
    <cacheField name="Rating Category" numFmtId="164">
      <sharedItems count="5">
        <s v="Excellent"/>
        <s v="Unclassified"/>
        <s v="Average"/>
        <s v="Missing"/>
        <s v="Poor"/>
      </sharedItems>
    </cacheField>
  </cacheFields>
  <extLst>
    <ext xmlns:x14="http://schemas.microsoft.com/office/spreadsheetml/2009/9/main" uri="{725AE2AE-9491-48be-B2B4-4EB974FC3084}">
      <x14:pivotCacheDefinition pivotCacheId="16391590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n v="1525"/>
    <x v="0"/>
    <n v="575"/>
    <x v="0"/>
    <x v="0"/>
    <x v="0"/>
    <x v="0"/>
    <x v="0"/>
  </r>
  <r>
    <x v="1"/>
    <n v="527"/>
    <n v="999"/>
    <x v="0"/>
    <n v="472"/>
    <x v="1"/>
    <x v="1"/>
    <x v="1"/>
    <x v="1"/>
    <x v="1"/>
  </r>
  <r>
    <x v="2"/>
    <n v="2199"/>
    <n v="2923"/>
    <x v="1"/>
    <n v="724"/>
    <x v="2"/>
    <x v="0"/>
    <x v="2"/>
    <x v="2"/>
    <x v="0"/>
  </r>
  <r>
    <x v="3"/>
    <n v="1580"/>
    <n v="2499"/>
    <x v="0"/>
    <n v="919"/>
    <x v="3"/>
    <x v="0"/>
    <x v="3"/>
    <x v="3"/>
    <x v="0"/>
  </r>
  <r>
    <x v="4"/>
    <n v="1740"/>
    <n v="2356"/>
    <x v="1"/>
    <n v="616"/>
    <x v="4"/>
    <x v="0"/>
    <x v="4"/>
    <x v="4"/>
    <x v="0"/>
  </r>
  <r>
    <x v="5"/>
    <n v="2999"/>
    <n v="3290"/>
    <x v="1"/>
    <n v="291"/>
    <x v="5"/>
    <x v="2"/>
    <x v="5"/>
    <x v="5"/>
    <x v="2"/>
  </r>
  <r>
    <x v="6"/>
    <n v="2319"/>
    <n v="3032"/>
    <x v="1"/>
    <n v="713"/>
    <x v="6"/>
    <x v="0"/>
    <x v="6"/>
    <x v="2"/>
    <x v="0"/>
  </r>
  <r>
    <x v="7"/>
    <n v="988"/>
    <n v="1580"/>
    <x v="0"/>
    <n v="592"/>
    <x v="3"/>
    <x v="0"/>
    <x v="0"/>
    <x v="5"/>
    <x v="2"/>
  </r>
  <r>
    <x v="8"/>
    <n v="1274"/>
    <n v="2800"/>
    <x v="0"/>
    <n v="1526"/>
    <x v="7"/>
    <x v="1"/>
    <x v="4"/>
    <x v="4"/>
    <x v="0"/>
  </r>
  <r>
    <x v="9"/>
    <n v="1600"/>
    <n v="2929"/>
    <x v="0"/>
    <n v="1329"/>
    <x v="8"/>
    <x v="1"/>
    <x v="4"/>
    <x v="6"/>
    <x v="2"/>
  </r>
  <r>
    <x v="10"/>
    <n v="799"/>
    <n v="999"/>
    <x v="0"/>
    <n v="200"/>
    <x v="9"/>
    <x v="0"/>
    <x v="7"/>
    <x v="1"/>
    <x v="1"/>
  </r>
  <r>
    <x v="11"/>
    <n v="990"/>
    <n v="1500"/>
    <x v="0"/>
    <n v="510"/>
    <x v="10"/>
    <x v="0"/>
    <x v="8"/>
    <x v="3"/>
    <x v="0"/>
  </r>
  <r>
    <x v="12"/>
    <n v="552"/>
    <n v="1035"/>
    <x v="0"/>
    <n v="483"/>
    <x v="1"/>
    <x v="1"/>
    <x v="7"/>
    <x v="4"/>
    <x v="0"/>
  </r>
  <r>
    <x v="13"/>
    <n v="501"/>
    <n v="860"/>
    <x v="0"/>
    <n v="359"/>
    <x v="11"/>
    <x v="1"/>
    <x v="9"/>
    <x v="0"/>
    <x v="0"/>
  </r>
  <r>
    <x v="14"/>
    <n v="1680"/>
    <n v="2499"/>
    <x v="1"/>
    <n v="819"/>
    <x v="12"/>
    <x v="0"/>
    <x v="10"/>
    <x v="7"/>
    <x v="1"/>
  </r>
  <r>
    <x v="15"/>
    <n v="332"/>
    <n v="684"/>
    <x v="2"/>
    <n v="352"/>
    <x v="13"/>
    <x v="1"/>
    <x v="0"/>
    <x v="8"/>
    <x v="0"/>
  </r>
  <r>
    <x v="16"/>
    <n v="195"/>
    <n v="360"/>
    <x v="2"/>
    <n v="165"/>
    <x v="14"/>
    <x v="1"/>
    <x v="0"/>
    <x v="8"/>
    <x v="0"/>
  </r>
  <r>
    <x v="17"/>
    <n v="2025"/>
    <n v="3971"/>
    <x v="1"/>
    <n v="1946"/>
    <x v="15"/>
    <x v="1"/>
    <x v="11"/>
    <x v="8"/>
    <x v="0"/>
  </r>
  <r>
    <x v="18"/>
    <n v="2999"/>
    <n v="3699"/>
    <x v="1"/>
    <n v="700"/>
    <x v="16"/>
    <x v="2"/>
    <x v="4"/>
    <x v="2"/>
    <x v="0"/>
  </r>
  <r>
    <x v="19"/>
    <n v="998"/>
    <n v="1966"/>
    <x v="0"/>
    <n v="968"/>
    <x v="15"/>
    <x v="1"/>
    <x v="12"/>
    <x v="2"/>
    <x v="0"/>
  </r>
  <r>
    <x v="20"/>
    <n v="38"/>
    <n v="80"/>
    <x v="2"/>
    <n v="42"/>
    <x v="17"/>
    <x v="1"/>
    <x v="13"/>
    <x v="9"/>
    <x v="2"/>
  </r>
  <r>
    <x v="21"/>
    <n v="1860"/>
    <n v="3220"/>
    <x v="1"/>
    <n v="1360"/>
    <x v="11"/>
    <x v="1"/>
    <x v="14"/>
    <x v="10"/>
    <x v="3"/>
  </r>
  <r>
    <x v="22"/>
    <n v="880"/>
    <n v="1350"/>
    <x v="0"/>
    <n v="470"/>
    <x v="18"/>
    <x v="0"/>
    <x v="9"/>
    <x v="5"/>
    <x v="2"/>
  </r>
  <r>
    <x v="23"/>
    <n v="1650"/>
    <n v="2150"/>
    <x v="0"/>
    <n v="500"/>
    <x v="19"/>
    <x v="0"/>
    <x v="1"/>
    <x v="11"/>
    <x v="1"/>
  </r>
  <r>
    <x v="24"/>
    <n v="2048"/>
    <n v="4500"/>
    <x v="1"/>
    <n v="2452"/>
    <x v="20"/>
    <x v="1"/>
    <x v="3"/>
    <x v="12"/>
    <x v="1"/>
  </r>
  <r>
    <x v="25"/>
    <n v="420"/>
    <n v="647"/>
    <x v="2"/>
    <n v="227"/>
    <x v="18"/>
    <x v="0"/>
    <x v="15"/>
    <x v="2"/>
    <x v="0"/>
  </r>
  <r>
    <x v="26"/>
    <n v="2880"/>
    <n v="3520"/>
    <x v="1"/>
    <n v="640"/>
    <x v="21"/>
    <x v="2"/>
    <x v="7"/>
    <x v="6"/>
    <x v="2"/>
  </r>
  <r>
    <x v="27"/>
    <n v="1350"/>
    <n v="1990"/>
    <x v="0"/>
    <n v="640"/>
    <x v="22"/>
    <x v="0"/>
    <x v="13"/>
    <x v="6"/>
    <x v="2"/>
  </r>
  <r>
    <x v="28"/>
    <n v="1758"/>
    <n v="2499"/>
    <x v="1"/>
    <n v="741"/>
    <x v="23"/>
    <x v="0"/>
    <x v="16"/>
    <x v="1"/>
    <x v="1"/>
  </r>
  <r>
    <x v="29"/>
    <n v="2200"/>
    <n v="4080"/>
    <x v="1"/>
    <n v="1880"/>
    <x v="14"/>
    <x v="1"/>
    <x v="14"/>
    <x v="10"/>
    <x v="3"/>
  </r>
  <r>
    <x v="30"/>
    <n v="185"/>
    <n v="382"/>
    <x v="2"/>
    <n v="197"/>
    <x v="24"/>
    <x v="1"/>
    <x v="10"/>
    <x v="12"/>
    <x v="1"/>
  </r>
  <r>
    <x v="31"/>
    <n v="980"/>
    <n v="1490"/>
    <x v="0"/>
    <n v="510"/>
    <x v="10"/>
    <x v="0"/>
    <x v="7"/>
    <x v="3"/>
    <x v="0"/>
  </r>
  <r>
    <x v="32"/>
    <n v="1820"/>
    <n v="3490"/>
    <x v="1"/>
    <n v="1670"/>
    <x v="25"/>
    <x v="1"/>
    <x v="10"/>
    <x v="12"/>
    <x v="1"/>
  </r>
  <r>
    <x v="33"/>
    <n v="1940"/>
    <n v="2650"/>
    <x v="1"/>
    <n v="710"/>
    <x v="26"/>
    <x v="0"/>
    <x v="16"/>
    <x v="3"/>
    <x v="0"/>
  </r>
  <r>
    <x v="34"/>
    <n v="1980"/>
    <n v="2699"/>
    <x v="1"/>
    <n v="719"/>
    <x v="26"/>
    <x v="0"/>
    <x v="17"/>
    <x v="0"/>
    <x v="0"/>
  </r>
  <r>
    <x v="35"/>
    <n v="1620"/>
    <n v="2690"/>
    <x v="0"/>
    <n v="1070"/>
    <x v="27"/>
    <x v="0"/>
    <x v="18"/>
    <x v="8"/>
    <x v="0"/>
  </r>
  <r>
    <x v="36"/>
    <n v="171"/>
    <n v="360"/>
    <x v="2"/>
    <n v="189"/>
    <x v="17"/>
    <x v="1"/>
    <x v="0"/>
    <x v="8"/>
    <x v="0"/>
  </r>
  <r>
    <x v="37"/>
    <n v="389"/>
    <n v="656"/>
    <x v="2"/>
    <n v="267"/>
    <x v="28"/>
    <x v="1"/>
    <x v="19"/>
    <x v="12"/>
    <x v="1"/>
  </r>
  <r>
    <x v="38"/>
    <n v="1800"/>
    <n v="2700"/>
    <x v="1"/>
    <n v="900"/>
    <x v="0"/>
    <x v="0"/>
    <x v="0"/>
    <x v="0"/>
    <x v="0"/>
  </r>
  <r>
    <x v="39"/>
    <n v="2750"/>
    <n v="4471"/>
    <x v="1"/>
    <n v="1721"/>
    <x v="0"/>
    <x v="0"/>
    <x v="14"/>
    <x v="10"/>
    <x v="3"/>
  </r>
  <r>
    <x v="40"/>
    <n v="475"/>
    <n v="931"/>
    <x v="2"/>
    <n v="456"/>
    <x v="15"/>
    <x v="1"/>
    <x v="14"/>
    <x v="10"/>
    <x v="3"/>
  </r>
  <r>
    <x v="41"/>
    <n v="238"/>
    <n v="476"/>
    <x v="2"/>
    <n v="238"/>
    <x v="29"/>
    <x v="1"/>
    <x v="14"/>
    <x v="10"/>
    <x v="3"/>
  </r>
  <r>
    <x v="42"/>
    <n v="610"/>
    <n v="1060"/>
    <x v="0"/>
    <n v="450"/>
    <x v="11"/>
    <x v="1"/>
    <x v="14"/>
    <x v="10"/>
    <x v="3"/>
  </r>
  <r>
    <x v="43"/>
    <n v="2132"/>
    <n v="2169"/>
    <x v="1"/>
    <n v="37"/>
    <x v="30"/>
    <x v="2"/>
    <x v="14"/>
    <x v="10"/>
    <x v="3"/>
  </r>
  <r>
    <x v="44"/>
    <n v="999"/>
    <n v="2000"/>
    <x v="0"/>
    <n v="1001"/>
    <x v="29"/>
    <x v="1"/>
    <x v="14"/>
    <x v="10"/>
    <x v="3"/>
  </r>
  <r>
    <x v="45"/>
    <n v="1190"/>
    <n v="1785"/>
    <x v="0"/>
    <n v="595"/>
    <x v="12"/>
    <x v="0"/>
    <x v="14"/>
    <x v="10"/>
    <x v="3"/>
  </r>
  <r>
    <x v="46"/>
    <n v="671"/>
    <n v="1316"/>
    <x v="0"/>
    <n v="645"/>
    <x v="15"/>
    <x v="1"/>
    <x v="14"/>
    <x v="10"/>
    <x v="3"/>
  </r>
  <r>
    <x v="47"/>
    <n v="1200"/>
    <n v="1950"/>
    <x v="0"/>
    <n v="750"/>
    <x v="0"/>
    <x v="0"/>
    <x v="14"/>
    <x v="10"/>
    <x v="3"/>
  </r>
  <r>
    <x v="48"/>
    <n v="199"/>
    <n v="504"/>
    <x v="2"/>
    <n v="305"/>
    <x v="31"/>
    <x v="1"/>
    <x v="14"/>
    <x v="10"/>
    <x v="3"/>
  </r>
  <r>
    <x v="49"/>
    <n v="299"/>
    <n v="600"/>
    <x v="2"/>
    <n v="301"/>
    <x v="29"/>
    <x v="1"/>
    <x v="14"/>
    <x v="10"/>
    <x v="3"/>
  </r>
  <r>
    <x v="50"/>
    <n v="1660"/>
    <n v="1699"/>
    <x v="0"/>
    <n v="39"/>
    <x v="30"/>
    <x v="2"/>
    <x v="14"/>
    <x v="10"/>
    <x v="3"/>
  </r>
  <r>
    <x v="51"/>
    <n v="299"/>
    <n v="384"/>
    <x v="2"/>
    <n v="85"/>
    <x v="32"/>
    <x v="0"/>
    <x v="14"/>
    <x v="10"/>
    <x v="3"/>
  </r>
  <r>
    <x v="52"/>
    <n v="1459"/>
    <n v="1499"/>
    <x v="0"/>
    <n v="40"/>
    <x v="33"/>
    <x v="2"/>
    <x v="14"/>
    <x v="10"/>
    <x v="3"/>
  </r>
  <r>
    <x v="53"/>
    <n v="799"/>
    <n v="1343"/>
    <x v="0"/>
    <n v="544"/>
    <x v="28"/>
    <x v="1"/>
    <x v="14"/>
    <x v="10"/>
    <x v="3"/>
  </r>
  <r>
    <x v="54"/>
    <n v="499"/>
    <n v="900"/>
    <x v="0"/>
    <n v="401"/>
    <x v="8"/>
    <x v="1"/>
    <x v="14"/>
    <x v="10"/>
    <x v="3"/>
  </r>
  <r>
    <x v="55"/>
    <n v="699"/>
    <n v="1343"/>
    <x v="0"/>
    <n v="644"/>
    <x v="25"/>
    <x v="1"/>
    <x v="14"/>
    <x v="10"/>
    <x v="3"/>
  </r>
  <r>
    <x v="56"/>
    <n v="799"/>
    <n v="1567"/>
    <x v="0"/>
    <n v="768"/>
    <x v="15"/>
    <x v="1"/>
    <x v="14"/>
    <x v="10"/>
    <x v="3"/>
  </r>
  <r>
    <x v="57"/>
    <n v="2799"/>
    <n v="3810"/>
    <x v="1"/>
    <n v="1011"/>
    <x v="26"/>
    <x v="0"/>
    <x v="14"/>
    <x v="10"/>
    <x v="3"/>
  </r>
  <r>
    <x v="54"/>
    <n v="399"/>
    <n v="896"/>
    <x v="2"/>
    <n v="497"/>
    <x v="7"/>
    <x v="1"/>
    <x v="14"/>
    <x v="10"/>
    <x v="3"/>
  </r>
  <r>
    <x v="58"/>
    <n v="2170"/>
    <n v="2500"/>
    <x v="1"/>
    <n v="330"/>
    <x v="34"/>
    <x v="2"/>
    <x v="9"/>
    <x v="13"/>
    <x v="4"/>
  </r>
  <r>
    <x v="59"/>
    <n v="458"/>
    <n v="986"/>
    <x v="2"/>
    <n v="528"/>
    <x v="20"/>
    <x v="1"/>
    <x v="20"/>
    <x v="14"/>
    <x v="2"/>
  </r>
  <r>
    <x v="60"/>
    <n v="2115"/>
    <n v="4700"/>
    <x v="1"/>
    <n v="2585"/>
    <x v="7"/>
    <x v="1"/>
    <x v="13"/>
    <x v="15"/>
    <x v="4"/>
  </r>
  <r>
    <x v="61"/>
    <n v="445"/>
    <n v="873"/>
    <x v="2"/>
    <n v="428"/>
    <x v="15"/>
    <x v="1"/>
    <x v="21"/>
    <x v="16"/>
    <x v="4"/>
  </r>
  <r>
    <x v="62"/>
    <n v="325"/>
    <n v="680"/>
    <x v="2"/>
    <n v="355"/>
    <x v="24"/>
    <x v="1"/>
    <x v="5"/>
    <x v="17"/>
    <x v="4"/>
  </r>
  <r>
    <x v="63"/>
    <n v="1220"/>
    <n v="1555"/>
    <x v="0"/>
    <n v="335"/>
    <x v="32"/>
    <x v="0"/>
    <x v="22"/>
    <x v="18"/>
    <x v="4"/>
  </r>
  <r>
    <x v="64"/>
    <n v="990"/>
    <n v="1814"/>
    <x v="0"/>
    <n v="824"/>
    <x v="8"/>
    <x v="1"/>
    <x v="9"/>
    <x v="19"/>
    <x v="4"/>
  </r>
  <r>
    <x v="65"/>
    <n v="1000"/>
    <n v="2000"/>
    <x v="0"/>
    <n v="1000"/>
    <x v="29"/>
    <x v="1"/>
    <x v="3"/>
    <x v="20"/>
    <x v="4"/>
  </r>
  <r>
    <x v="66"/>
    <n v="3750"/>
    <n v="6143"/>
    <x v="1"/>
    <n v="2393"/>
    <x v="35"/>
    <x v="0"/>
    <x v="4"/>
    <x v="14"/>
    <x v="2"/>
  </r>
  <r>
    <x v="67"/>
    <n v="382"/>
    <n v="700"/>
    <x v="2"/>
    <n v="318"/>
    <x v="8"/>
    <x v="1"/>
    <x v="23"/>
    <x v="21"/>
    <x v="4"/>
  </r>
  <r>
    <x v="68"/>
    <n v="2300"/>
    <n v="3240"/>
    <x v="1"/>
    <n v="940"/>
    <x v="36"/>
    <x v="0"/>
    <x v="4"/>
    <x v="14"/>
    <x v="2"/>
  </r>
  <r>
    <x v="69"/>
    <n v="345"/>
    <n v="602"/>
    <x v="2"/>
    <n v="257"/>
    <x v="37"/>
    <x v="1"/>
    <x v="9"/>
    <x v="20"/>
    <x v="4"/>
  </r>
  <r>
    <x v="70"/>
    <n v="509"/>
    <n v="899"/>
    <x v="0"/>
    <n v="390"/>
    <x v="37"/>
    <x v="1"/>
    <x v="4"/>
    <x v="14"/>
    <x v="2"/>
  </r>
  <r>
    <x v="71"/>
    <n v="968"/>
    <n v="1814"/>
    <x v="0"/>
    <n v="846"/>
    <x v="1"/>
    <x v="1"/>
    <x v="9"/>
    <x v="19"/>
    <x v="4"/>
  </r>
  <r>
    <x v="72"/>
    <n v="1570"/>
    <n v="2988"/>
    <x v="0"/>
    <n v="1418"/>
    <x v="1"/>
    <x v="1"/>
    <x v="3"/>
    <x v="15"/>
    <x v="4"/>
  </r>
  <r>
    <x v="73"/>
    <n v="790"/>
    <n v="1485"/>
    <x v="0"/>
    <n v="695"/>
    <x v="1"/>
    <x v="1"/>
    <x v="14"/>
    <x v="10"/>
    <x v="3"/>
  </r>
  <r>
    <x v="74"/>
    <n v="690"/>
    <n v="1200"/>
    <x v="0"/>
    <n v="510"/>
    <x v="37"/>
    <x v="1"/>
    <x v="14"/>
    <x v="10"/>
    <x v="3"/>
  </r>
  <r>
    <x v="75"/>
    <n v="1732"/>
    <n v="1799"/>
    <x v="1"/>
    <n v="67"/>
    <x v="38"/>
    <x v="2"/>
    <x v="14"/>
    <x v="10"/>
    <x v="3"/>
  </r>
  <r>
    <x v="76"/>
    <n v="230"/>
    <n v="450"/>
    <x v="2"/>
    <n v="220"/>
    <x v="15"/>
    <x v="1"/>
    <x v="14"/>
    <x v="10"/>
    <x v="3"/>
  </r>
  <r>
    <x v="77"/>
    <n v="1189"/>
    <n v="2199"/>
    <x v="0"/>
    <n v="1010"/>
    <x v="14"/>
    <x v="1"/>
    <x v="18"/>
    <x v="14"/>
    <x v="2"/>
  </r>
  <r>
    <x v="78"/>
    <n v="979"/>
    <n v="1920"/>
    <x v="0"/>
    <n v="941"/>
    <x v="15"/>
    <x v="1"/>
    <x v="18"/>
    <x v="8"/>
    <x v="0"/>
  </r>
  <r>
    <x v="79"/>
    <n v="1460"/>
    <n v="2290"/>
    <x v="0"/>
    <n v="830"/>
    <x v="39"/>
    <x v="0"/>
    <x v="14"/>
    <x v="10"/>
    <x v="3"/>
  </r>
  <r>
    <x v="80"/>
    <n v="1666"/>
    <n v="1699"/>
    <x v="0"/>
    <n v="33"/>
    <x v="30"/>
    <x v="2"/>
    <x v="14"/>
    <x v="10"/>
    <x v="3"/>
  </r>
  <r>
    <x v="81"/>
    <n v="330"/>
    <n v="647"/>
    <x v="2"/>
    <n v="317"/>
    <x v="15"/>
    <x v="1"/>
    <x v="18"/>
    <x v="5"/>
    <x v="2"/>
  </r>
  <r>
    <x v="48"/>
    <n v="176"/>
    <n v="345"/>
    <x v="2"/>
    <n v="169"/>
    <x v="15"/>
    <x v="1"/>
    <x v="14"/>
    <x v="10"/>
    <x v="3"/>
  </r>
  <r>
    <x v="82"/>
    <n v="1466"/>
    <n v="1699"/>
    <x v="0"/>
    <n v="233"/>
    <x v="40"/>
    <x v="2"/>
    <x v="14"/>
    <x v="10"/>
    <x v="3"/>
  </r>
  <r>
    <x v="83"/>
    <n v="274"/>
    <n v="537"/>
    <x v="2"/>
    <n v="263"/>
    <x v="15"/>
    <x v="1"/>
    <x v="14"/>
    <x v="10"/>
    <x v="3"/>
  </r>
  <r>
    <x v="84"/>
    <n v="799"/>
    <n v="900"/>
    <x v="0"/>
    <n v="101"/>
    <x v="41"/>
    <x v="2"/>
    <x v="14"/>
    <x v="10"/>
    <x v="3"/>
  </r>
  <r>
    <x v="56"/>
    <n v="657"/>
    <n v="1288"/>
    <x v="0"/>
    <n v="631"/>
    <x v="15"/>
    <x v="1"/>
    <x v="14"/>
    <x v="10"/>
    <x v="3"/>
  </r>
  <r>
    <x v="85"/>
    <n v="1468"/>
    <n v="1699"/>
    <x v="0"/>
    <n v="231"/>
    <x v="40"/>
    <x v="2"/>
    <x v="14"/>
    <x v="10"/>
    <x v="3"/>
  </r>
  <r>
    <x v="86"/>
    <n v="630"/>
    <n v="1100"/>
    <x v="0"/>
    <n v="470"/>
    <x v="37"/>
    <x v="1"/>
    <x v="14"/>
    <x v="10"/>
    <x v="3"/>
  </r>
  <r>
    <x v="87"/>
    <n v="850"/>
    <n v="1700"/>
    <x v="0"/>
    <n v="850"/>
    <x v="29"/>
    <x v="1"/>
    <x v="14"/>
    <x v="10"/>
    <x v="3"/>
  </r>
  <r>
    <x v="88"/>
    <n v="1300"/>
    <n v="2500"/>
    <x v="0"/>
    <n v="1200"/>
    <x v="25"/>
    <x v="1"/>
    <x v="14"/>
    <x v="10"/>
    <x v="3"/>
  </r>
  <r>
    <x v="89"/>
    <n v="105"/>
    <n v="200"/>
    <x v="2"/>
    <n v="95"/>
    <x v="25"/>
    <x v="1"/>
    <x v="14"/>
    <x v="10"/>
    <x v="3"/>
  </r>
  <r>
    <x v="90"/>
    <n v="899"/>
    <n v="1699"/>
    <x v="0"/>
    <n v="800"/>
    <x v="1"/>
    <x v="1"/>
    <x v="14"/>
    <x v="10"/>
    <x v="3"/>
  </r>
  <r>
    <x v="91"/>
    <n v="1200"/>
    <n v="2400"/>
    <x v="0"/>
    <n v="1200"/>
    <x v="29"/>
    <x v="1"/>
    <x v="14"/>
    <x v="10"/>
    <x v="3"/>
  </r>
  <r>
    <x v="92"/>
    <n v="1526"/>
    <n v="1660"/>
    <x v="0"/>
    <n v="134"/>
    <x v="42"/>
    <x v="2"/>
    <x v="14"/>
    <x v="10"/>
    <x v="3"/>
  </r>
  <r>
    <x v="93"/>
    <n v="1462"/>
    <n v="1499"/>
    <x v="0"/>
    <n v="37"/>
    <x v="30"/>
    <x v="2"/>
    <x v="14"/>
    <x v="10"/>
    <x v="3"/>
  </r>
  <r>
    <x v="94"/>
    <n v="248"/>
    <n v="486"/>
    <x v="2"/>
    <n v="238"/>
    <x v="15"/>
    <x v="1"/>
    <x v="14"/>
    <x v="10"/>
    <x v="3"/>
  </r>
  <r>
    <x v="95"/>
    <n v="3546"/>
    <n v="3699"/>
    <x v="1"/>
    <n v="153"/>
    <x v="38"/>
    <x v="2"/>
    <x v="14"/>
    <x v="10"/>
    <x v="3"/>
  </r>
  <r>
    <x v="96"/>
    <n v="525"/>
    <n v="1029"/>
    <x v="0"/>
    <n v="504"/>
    <x v="15"/>
    <x v="1"/>
    <x v="14"/>
    <x v="10"/>
    <x v="3"/>
  </r>
  <r>
    <x v="97"/>
    <n v="1080"/>
    <n v="1874"/>
    <x v="0"/>
    <n v="794"/>
    <x v="11"/>
    <x v="1"/>
    <x v="14"/>
    <x v="10"/>
    <x v="3"/>
  </r>
  <r>
    <x v="98"/>
    <n v="3640"/>
    <n v="4588"/>
    <x v="1"/>
    <n v="948"/>
    <x v="43"/>
    <x v="0"/>
    <x v="18"/>
    <x v="8"/>
    <x v="0"/>
  </r>
  <r>
    <x v="99"/>
    <n v="1420"/>
    <n v="2420"/>
    <x v="0"/>
    <n v="1000"/>
    <x v="28"/>
    <x v="1"/>
    <x v="14"/>
    <x v="10"/>
    <x v="3"/>
  </r>
  <r>
    <x v="100"/>
    <n v="1875"/>
    <n v="1899"/>
    <x v="1"/>
    <n v="24"/>
    <x v="44"/>
    <x v="2"/>
    <x v="14"/>
    <x v="10"/>
    <x v="3"/>
  </r>
  <r>
    <x v="101"/>
    <n v="198"/>
    <n v="260"/>
    <x v="2"/>
    <n v="62"/>
    <x v="6"/>
    <x v="0"/>
    <x v="14"/>
    <x v="10"/>
    <x v="3"/>
  </r>
  <r>
    <x v="102"/>
    <n v="1150"/>
    <n v="1737"/>
    <x v="0"/>
    <n v="587"/>
    <x v="10"/>
    <x v="0"/>
    <x v="14"/>
    <x v="10"/>
    <x v="3"/>
  </r>
  <r>
    <x v="103"/>
    <n v="1190"/>
    <n v="1810"/>
    <x v="0"/>
    <n v="620"/>
    <x v="10"/>
    <x v="0"/>
    <x v="14"/>
    <x v="10"/>
    <x v="3"/>
  </r>
  <r>
    <x v="104"/>
    <n v="1658"/>
    <n v="1699"/>
    <x v="0"/>
    <n v="41"/>
    <x v="30"/>
    <x v="2"/>
    <x v="14"/>
    <x v="10"/>
    <x v="3"/>
  </r>
  <r>
    <x v="105"/>
    <n v="1768"/>
    <n v="1799"/>
    <x v="1"/>
    <n v="31"/>
    <x v="30"/>
    <x v="2"/>
    <x v="14"/>
    <x v="10"/>
    <x v="3"/>
  </r>
  <r>
    <x v="106"/>
    <n v="199"/>
    <n v="553"/>
    <x v="2"/>
    <n v="354"/>
    <x v="45"/>
    <x v="1"/>
    <x v="14"/>
    <x v="10"/>
    <x v="3"/>
  </r>
  <r>
    <x v="107"/>
    <n v="450"/>
    <n v="900"/>
    <x v="2"/>
    <n v="450"/>
    <x v="29"/>
    <x v="1"/>
    <x v="18"/>
    <x v="22"/>
    <x v="4"/>
  </r>
  <r>
    <x v="108"/>
    <n v="169"/>
    <n v="320"/>
    <x v="2"/>
    <n v="151"/>
    <x v="1"/>
    <x v="1"/>
    <x v="14"/>
    <x v="1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8E88EE-574F-40E0-970E-E37C875875F2}" name="Top Products by Review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14:F25" firstHeaderRow="1" firstDataRow="1" firstDataCol="1"/>
  <pivotFields count="10">
    <pivotField axis="axisRow" showAll="0" measureFilter="1" sortType="descending">
      <items count="110">
        <item x="38"/>
        <item x="25"/>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5" showAll="0"/>
    <pivotField numFmtId="165" showAll="0"/>
    <pivotField showAll="0">
      <items count="4">
        <item x="1"/>
        <item x="2"/>
        <item x="0"/>
        <item t="default"/>
      </items>
    </pivotField>
    <pivotField numFmtId="165" showAll="0"/>
    <pivotField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showAll="0">
      <items count="4">
        <item x="1"/>
        <item x="2"/>
        <item x="0"/>
        <item t="default"/>
      </items>
    </pivotField>
    <pivotField dataField="1" showAll="0"/>
    <pivotField showAll="0"/>
    <pivotField showAll="0">
      <items count="6">
        <item x="2"/>
        <item x="0"/>
        <item x="3"/>
        <item x="4"/>
        <item x="1"/>
        <item t="default"/>
      </items>
    </pivotField>
  </pivotFields>
  <rowFields count="1">
    <field x="0"/>
  </rowFields>
  <rowItems count="11">
    <i>
      <x v="6"/>
    </i>
    <i>
      <x v="9"/>
    </i>
    <i>
      <x v="1"/>
    </i>
    <i>
      <x v="19"/>
    </i>
    <i>
      <x v="2"/>
    </i>
    <i>
      <x v="95"/>
    </i>
    <i>
      <x v="28"/>
    </i>
    <i>
      <x v="91"/>
    </i>
    <i>
      <x v="27"/>
    </i>
    <i>
      <x v="29"/>
    </i>
    <i t="grand">
      <x/>
    </i>
  </rowItems>
  <colItems count="1">
    <i/>
  </colItems>
  <dataFields count="1">
    <dataField name="Sum of Review" fld="7" baseField="0" baseItem="0"/>
  </dataFields>
  <chartFormats count="4">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AEFC18-22D3-4696-94E4-B23410605703}" name="Top Products by Dis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31:F42" firstHeaderRow="1" firstDataRow="1" firstDataCol="1"/>
  <pivotFields count="10">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5" showAll="0"/>
    <pivotField numFmtId="165" showAll="0"/>
    <pivotField showAll="0">
      <items count="4">
        <item x="1"/>
        <item x="2"/>
        <item x="0"/>
        <item t="default"/>
      </items>
    </pivotField>
    <pivotField numFmtId="165" showAll="0"/>
    <pivotField dataField="1"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showAll="0">
      <items count="4">
        <item x="1"/>
        <item x="2"/>
        <item x="0"/>
        <item t="default"/>
      </items>
    </pivotField>
    <pivotField showAll="0"/>
    <pivotField showAll="0"/>
    <pivotField showAll="0">
      <items count="6">
        <item x="2"/>
        <item x="0"/>
        <item x="3"/>
        <item x="4"/>
        <item x="1"/>
        <item t="default"/>
      </items>
    </pivotField>
  </pivotFields>
  <rowFields count="1">
    <field x="0"/>
  </rowFields>
  <rowItems count="11">
    <i>
      <x v="31"/>
    </i>
    <i>
      <x v="70"/>
    </i>
    <i>
      <x v="30"/>
    </i>
    <i>
      <x v="53"/>
    </i>
    <i>
      <x v="67"/>
    </i>
    <i>
      <x v="84"/>
    </i>
    <i>
      <x v="52"/>
    </i>
    <i>
      <x v="20"/>
    </i>
    <i>
      <x v="60"/>
    </i>
    <i>
      <x v="64"/>
    </i>
    <i t="grand">
      <x/>
    </i>
  </rowItems>
  <colItems count="1">
    <i/>
  </colItems>
  <dataFields count="1">
    <dataField name="Average of Discount" fld="5" subtotal="average" baseField="0" baseItem="2" numFmtId="9"/>
  </dataFields>
  <chartFormats count="4">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012176-E6BE-48D7-8A02-96805414D57A}" name="Prices vs 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4:F8" firstHeaderRow="1" firstDataRow="1" firstDataCol="1"/>
  <pivotFields count="10">
    <pivotField showAll="0"/>
    <pivotField numFmtId="165" showAll="0"/>
    <pivotField numFmtId="165"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numFmtId="165" showAll="0"/>
    <pivotField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showAll="0">
      <items count="4">
        <item x="1"/>
        <item x="2"/>
        <item x="0"/>
        <item t="default"/>
      </items>
    </pivotField>
    <pivotField showAll="0"/>
    <pivotField dataField="1" showAll="0"/>
    <pivotField showAll="0">
      <items count="6">
        <item x="2"/>
        <item x="0"/>
        <item x="3"/>
        <item x="4"/>
        <item x="1"/>
        <item t="default"/>
      </items>
    </pivotField>
  </pivotFields>
  <rowFields count="1">
    <field x="3"/>
  </rowFields>
  <rowItems count="4">
    <i>
      <x v="1"/>
    </i>
    <i>
      <x v="2"/>
    </i>
    <i>
      <x/>
    </i>
    <i t="grand">
      <x/>
    </i>
  </rowItems>
  <colItems count="1">
    <i/>
  </colItems>
  <dataFields count="1">
    <dataField name="Average of Rating" fld="8" subtotal="average" baseField="3" baseItem="0" numFmtId="164"/>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D5374A-6671-4F71-8D26-C6B26479915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2:D70" firstHeaderRow="0" firstDataRow="1" firstDataCol="1" rowPageCount="1" colPageCount="1"/>
  <pivotFields count="10">
    <pivotField name="high-discount-low-rating-products"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48"/>
        <item x="75"/>
        <item x="53"/>
        <item x="7"/>
        <item x="35"/>
        <item x="72"/>
        <item x="25"/>
        <item x="30"/>
        <item x="23"/>
        <item x="10"/>
        <item x="81"/>
        <item x="36"/>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1"/>
            </reference>
          </references>
        </pivotArea>
      </autoSortScope>
    </pivotField>
    <pivotField numFmtId="165" showAll="0"/>
    <pivotField numFmtId="165" showAll="0"/>
    <pivotField showAll="0"/>
    <pivotField numFmtId="165" showAll="0"/>
    <pivotField dataField="1" numFmtId="9" showAll="0"/>
    <pivotField showAll="0"/>
    <pivotField showAll="0"/>
    <pivotField axis="axisPage" dataField="1" multipleItemSelectionAllowed="1" showAll="0">
      <items count="24">
        <item x="22"/>
        <item x="15"/>
        <item x="19"/>
        <item x="20"/>
        <item h="1" x="13"/>
        <item h="1" x="21"/>
        <item h="1" x="17"/>
        <item h="1" x="16"/>
        <item h="1" x="18"/>
        <item h="1" x="14"/>
        <item h="1" x="9"/>
        <item h="1" x="6"/>
        <item h="1" x="5"/>
        <item h="1" x="1"/>
        <item h="1" x="7"/>
        <item h="1" x="12"/>
        <item h="1" x="11"/>
        <item h="1" x="0"/>
        <item h="1" x="2"/>
        <item h="1" x="3"/>
        <item h="1" x="4"/>
        <item h="1" x="8"/>
        <item h="1" x="10"/>
        <item t="default"/>
      </items>
    </pivotField>
    <pivotField showAll="0"/>
  </pivotFields>
  <rowFields count="1">
    <field x="0"/>
  </rowFields>
  <rowItems count="8">
    <i>
      <x v="30"/>
    </i>
    <i>
      <x v="17"/>
    </i>
    <i>
      <x v="104"/>
    </i>
    <i>
      <x v="57"/>
    </i>
    <i>
      <x v="35"/>
    </i>
    <i>
      <x v="41"/>
    </i>
    <i>
      <x v="106"/>
    </i>
    <i t="grand">
      <x/>
    </i>
  </rowItems>
  <colFields count="1">
    <field x="-2"/>
  </colFields>
  <colItems count="2">
    <i>
      <x/>
    </i>
    <i i="1">
      <x v="1"/>
    </i>
  </colItems>
  <pageFields count="1">
    <pageField fld="8" hier="-1"/>
  </pageFields>
  <dataFields count="2">
    <dataField name="Average of Rating" fld="8" subtotal="average" baseField="0" baseItem="30"/>
    <dataField name="Sum of Discount" fld="5" baseField="0" baseItem="0"/>
  </dataFields>
  <pivotTableStyleInfo name="PivotStyleLight16" showRowHeaders="1" showColHeaders="1" showRowStripes="0" showColStripes="0" showLastColumn="1"/>
  <filters count="1">
    <filter fld="0" type="count" evalOrder="-1" id="2"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57E8E5-A1C4-4B1F-B7E9-3ACAB63A5FF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2:H70" firstHeaderRow="0" firstDataRow="1" firstDataCol="1" rowPageCount="2" colPageCount="1"/>
  <pivotFields count="10">
    <pivotField name="many-reviews-but-low-rating" axis="axisRow" showAll="0" measureFilter="1" sortType="descending">
      <items count="110">
        <item x="70"/>
        <item x="3"/>
        <item x="69"/>
        <item x="85"/>
        <item x="107"/>
        <item x="92"/>
        <item x="87"/>
        <item x="63"/>
        <item x="105"/>
        <item x="54"/>
        <item x="104"/>
        <item x="43"/>
        <item x="89"/>
        <item x="37"/>
        <item x="88"/>
        <item x="26"/>
        <item x="93"/>
        <item x="2"/>
        <item x="4"/>
        <item x="51"/>
        <item x="50"/>
        <item x="16"/>
        <item x="84"/>
        <item x="82"/>
        <item x="59"/>
        <item x="52"/>
        <item x="29"/>
        <item x="86"/>
        <item x="14"/>
        <item x="41"/>
        <item x="95"/>
        <item x="1"/>
        <item x="77"/>
        <item x="18"/>
        <item x="102"/>
        <item x="22"/>
        <item x="32"/>
        <item x="39"/>
        <item x="8"/>
        <item x="13"/>
        <item x="17"/>
        <item x="24"/>
        <item x="68"/>
        <item x="98"/>
        <item x="62"/>
        <item x="81"/>
        <item x="10"/>
        <item x="23"/>
        <item x="30"/>
        <item x="25"/>
        <item x="72"/>
        <item x="35"/>
        <item x="7"/>
        <item x="53"/>
        <item x="75"/>
        <item x="48"/>
        <item x="36"/>
        <item x="55"/>
        <item x="44"/>
        <item x="103"/>
        <item x="83"/>
        <item x="46"/>
        <item x="49"/>
        <item x="108"/>
        <item x="78"/>
        <item x="42"/>
        <item x="96"/>
        <item x="64"/>
        <item x="15"/>
        <item x="56"/>
        <item x="67"/>
        <item x="99"/>
        <item x="97"/>
        <item x="71"/>
        <item x="76"/>
        <item x="45"/>
        <item x="90"/>
        <item x="106"/>
        <item x="60"/>
        <item x="79"/>
        <item x="33"/>
        <item x="34"/>
        <item x="28"/>
        <item x="58"/>
        <item x="21"/>
        <item x="40"/>
        <item x="12"/>
        <item x="94"/>
        <item x="20"/>
        <item x="74"/>
        <item x="19"/>
        <item x="65"/>
        <item x="66"/>
        <item x="73"/>
        <item x="47"/>
        <item x="91"/>
        <item x="100"/>
        <item x="5"/>
        <item x="80"/>
        <item x="101"/>
        <item x="6"/>
        <item x="9"/>
        <item x="57"/>
        <item x="61"/>
        <item x="31"/>
        <item x="27"/>
        <item x="0"/>
        <item x="11"/>
        <item x="38"/>
        <item t="default"/>
      </items>
      <autoSortScope>
        <pivotArea dataOnly="0" outline="0" fieldPosition="0">
          <references count="1">
            <reference field="4294967294" count="1" selected="0">
              <x v="0"/>
            </reference>
          </references>
        </pivotArea>
      </autoSortScope>
    </pivotField>
    <pivotField numFmtId="165" showAll="0"/>
    <pivotField numFmtId="165" showAll="0"/>
    <pivotField showAll="0"/>
    <pivotField numFmtId="165" showAll="0"/>
    <pivotField numFmtId="9" showAll="0"/>
    <pivotField showAll="0"/>
    <pivotField axis="axisPage" dataField="1" multipleItemSelectionAllowed="1" showAll="0">
      <items count="25">
        <item x="18"/>
        <item x="0"/>
        <item x="11"/>
        <item x="4"/>
        <item x="9"/>
        <item x="3"/>
        <item x="10"/>
        <item x="20"/>
        <item x="7"/>
        <item x="13"/>
        <item x="1"/>
        <item x="5"/>
        <item x="22"/>
        <item x="23"/>
        <item x="16"/>
        <item x="2"/>
        <item x="17"/>
        <item x="19"/>
        <item x="8"/>
        <item x="12"/>
        <item x="15"/>
        <item x="6"/>
        <item x="21"/>
        <item h="1" x="14"/>
        <item t="default"/>
      </items>
    </pivotField>
    <pivotField axis="axisPage" dataField="1" multipleItemSelectionAllowed="1" showAll="0">
      <items count="24">
        <item x="22"/>
        <item x="15"/>
        <item x="19"/>
        <item x="20"/>
        <item h="1" x="13"/>
        <item h="1" x="21"/>
        <item h="1" x="17"/>
        <item h="1" x="16"/>
        <item h="1" x="18"/>
        <item h="1" x="14"/>
        <item h="1" x="9"/>
        <item h="1" x="6"/>
        <item h="1" x="5"/>
        <item h="1" x="1"/>
        <item h="1" x="7"/>
        <item h="1" x="12"/>
        <item h="1" x="11"/>
        <item h="1" x="0"/>
        <item h="1" x="2"/>
        <item h="1" x="3"/>
        <item h="1" x="4"/>
        <item h="1" x="8"/>
        <item h="1" x="10"/>
        <item t="default"/>
      </items>
    </pivotField>
    <pivotField showAll="0"/>
  </pivotFields>
  <rowFields count="1">
    <field x="0"/>
  </rowFields>
  <rowItems count="8">
    <i>
      <x v="78"/>
    </i>
    <i>
      <x v="91"/>
    </i>
    <i>
      <x v="50"/>
    </i>
    <i>
      <x v="73"/>
    </i>
    <i>
      <x v="2"/>
    </i>
    <i>
      <x v="67"/>
    </i>
    <i>
      <x v="4"/>
    </i>
    <i t="grand">
      <x/>
    </i>
  </rowItems>
  <colFields count="1">
    <field x="-2"/>
  </colFields>
  <colItems count="2">
    <i>
      <x/>
    </i>
    <i i="1">
      <x v="1"/>
    </i>
  </colItems>
  <pageFields count="2">
    <pageField fld="7" hier="-1"/>
    <pageField fld="8" hier="-1"/>
  </pageFields>
  <dataFields count="2">
    <dataField name="Average of Review" fld="7" subtotal="average" baseField="0" baseItem="0"/>
    <dataField name="Average of Rating" fld="8" subtotal="average" baseField="0" baseItem="0"/>
  </dataField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E4DF60-713A-49D4-87CA-DB3993769EA6}" name="Rating M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3:V9" firstHeaderRow="1" firstDataRow="1" firstDataCol="1"/>
  <pivotFields count="10">
    <pivotField dataField="1" showAll="0"/>
    <pivotField numFmtId="165" showAll="0"/>
    <pivotField numFmtId="165" showAll="0"/>
    <pivotField showAll="0"/>
    <pivotField numFmtId="165" showAll="0"/>
    <pivotField numFmtId="9" showAll="0"/>
    <pivotField showAll="0"/>
    <pivotField showAll="0"/>
    <pivotField showAll="0"/>
    <pivotField axis="axisRow" showAll="0">
      <items count="6">
        <item x="2"/>
        <item x="0"/>
        <item x="3"/>
        <item x="4"/>
        <item x="1"/>
        <item t="default"/>
      </items>
    </pivotField>
  </pivotFields>
  <rowFields count="1">
    <field x="9"/>
  </rowFields>
  <rowItems count="6">
    <i>
      <x/>
    </i>
    <i>
      <x v="1"/>
    </i>
    <i>
      <x v="2"/>
    </i>
    <i>
      <x v="3"/>
    </i>
    <i>
      <x v="4"/>
    </i>
    <i t="grand">
      <x/>
    </i>
  </rowItems>
  <colItems count="1">
    <i/>
  </colItems>
  <dataFields count="1">
    <dataField name="Count of Product" fld="0" subtotal="count" baseField="0" baseItem="0"/>
  </dataFields>
  <chartFormats count="12">
    <chartFormat chart="6" format="13"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9" count="1" selected="0">
            <x v="0"/>
          </reference>
        </references>
      </pivotArea>
    </chartFormat>
    <chartFormat chart="6" format="15">
      <pivotArea type="data" outline="0" fieldPosition="0">
        <references count="2">
          <reference field="4294967294" count="1" selected="0">
            <x v="0"/>
          </reference>
          <reference field="9" count="1" selected="0">
            <x v="1"/>
          </reference>
        </references>
      </pivotArea>
    </chartFormat>
    <chartFormat chart="6" format="16">
      <pivotArea type="data" outline="0" fieldPosition="0">
        <references count="2">
          <reference field="4294967294" count="1" selected="0">
            <x v="0"/>
          </reference>
          <reference field="9" count="1" selected="0">
            <x v="2"/>
          </reference>
        </references>
      </pivotArea>
    </chartFormat>
    <chartFormat chart="6" format="17">
      <pivotArea type="data" outline="0" fieldPosition="0">
        <references count="2">
          <reference field="4294967294" count="1" selected="0">
            <x v="0"/>
          </reference>
          <reference field="9" count="1" selected="0">
            <x v="3"/>
          </reference>
        </references>
      </pivotArea>
    </chartFormat>
    <chartFormat chart="6" format="18">
      <pivotArea type="data" outline="0" fieldPosition="0">
        <references count="2">
          <reference field="4294967294" count="1" selected="0">
            <x v="0"/>
          </reference>
          <reference field="9" count="1" selected="0">
            <x v="4"/>
          </reference>
        </references>
      </pivotArea>
    </chartFormat>
    <chartFormat chart="0" format="7">
      <pivotArea type="data" outline="0" fieldPosition="0">
        <references count="2">
          <reference field="4294967294" count="1" selected="0">
            <x v="0"/>
          </reference>
          <reference field="9" count="1" selected="0">
            <x v="0"/>
          </reference>
        </references>
      </pivotArea>
    </chartFormat>
    <chartFormat chart="0" format="8">
      <pivotArea type="data" outline="0" fieldPosition="0">
        <references count="2">
          <reference field="4294967294" count="1" selected="0">
            <x v="0"/>
          </reference>
          <reference field="9" count="1" selected="0">
            <x v="1"/>
          </reference>
        </references>
      </pivotArea>
    </chartFormat>
    <chartFormat chart="0" format="9">
      <pivotArea type="data" outline="0" fieldPosition="0">
        <references count="2">
          <reference field="4294967294" count="1" selected="0">
            <x v="0"/>
          </reference>
          <reference field="9" count="1" selected="0">
            <x v="2"/>
          </reference>
        </references>
      </pivotArea>
    </chartFormat>
    <chartFormat chart="0" format="10">
      <pivotArea type="data" outline="0" fieldPosition="0">
        <references count="2">
          <reference field="4294967294" count="1" selected="0">
            <x v="0"/>
          </reference>
          <reference field="9" count="1" selected="0">
            <x v="3"/>
          </reference>
        </references>
      </pivotArea>
    </chartFormat>
    <chartFormat chart="0" format="1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50FCF3-7D1D-4221-9793-8860A5343CED}" name="Discount M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4:C8" firstHeaderRow="1" firstDataRow="1" firstDataCol="1"/>
  <pivotFields count="10">
    <pivotField dataField="1" showAll="0"/>
    <pivotField numFmtId="165" showAll="0"/>
    <pivotField numFmtId="165" showAll="0"/>
    <pivotField showAll="0">
      <items count="4">
        <item x="1"/>
        <item x="2"/>
        <item x="0"/>
        <item t="default"/>
      </items>
    </pivotField>
    <pivotField numFmtId="165" showAll="0"/>
    <pivotField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2"/>
        <item x="0"/>
        <item x="3"/>
        <item x="4"/>
        <item x="1"/>
        <item t="default"/>
      </items>
    </pivotField>
  </pivotFields>
  <rowFields count="1">
    <field x="6"/>
  </rowFields>
  <rowItems count="4">
    <i>
      <x/>
    </i>
    <i>
      <x v="2"/>
    </i>
    <i>
      <x v="1"/>
    </i>
    <i t="grand">
      <x/>
    </i>
  </rowItems>
  <colItems count="1">
    <i/>
  </colItems>
  <dataFields count="1">
    <dataField name="Count of Product" fld="0" subtotal="count" baseField="0" baseItem="0"/>
  </dataFields>
  <chartFormats count="4">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BB2F4D-C249-4DBF-AC4E-2FB978187681}" name="Engagement by Dis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2:C36" firstHeaderRow="1" firstDataRow="1" firstDataCol="1"/>
  <pivotFields count="10">
    <pivotField showAll="0"/>
    <pivotField numFmtId="165" showAll="0"/>
    <pivotField numFmtId="165" showAll="0"/>
    <pivotField showAll="0">
      <items count="4">
        <item x="1"/>
        <item x="2"/>
        <item x="0"/>
        <item t="default"/>
      </items>
    </pivotField>
    <pivotField numFmtId="165" showAll="0"/>
    <pivotField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6">
        <item x="2"/>
        <item x="0"/>
        <item x="3"/>
        <item x="4"/>
        <item x="1"/>
        <item t="default"/>
      </items>
    </pivotField>
  </pivotFields>
  <rowFields count="1">
    <field x="6"/>
  </rowFields>
  <rowItems count="4">
    <i>
      <x v="2"/>
    </i>
    <i>
      <x/>
    </i>
    <i>
      <x v="1"/>
    </i>
    <i t="grand">
      <x/>
    </i>
  </rowItems>
  <colItems count="1">
    <i/>
  </colItems>
  <dataFields count="1">
    <dataField name="Sum of Review" fld="7" baseField="7"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614FE4-C093-4AE6-9FCD-337287809BE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location ref="B98:C111" firstHeaderRow="1" firstDataRow="1" firstDataCol="1" rowPageCount="1" colPageCount="1"/>
  <pivotFields count="10">
    <pivotField name="top-5-and-botton-5-products-by-rating"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5" showAll="0"/>
    <pivotField numFmtId="165" showAll="0"/>
    <pivotField showAll="0"/>
    <pivotField numFmtId="165" showAll="0"/>
    <pivotField numFmtId="9" showAll="0"/>
    <pivotField showAll="0"/>
    <pivotField multipleItemSelectionAllowed="1" showAll="0"/>
    <pivotField axis="axisPage" dataField="1" multipleItemSelectionAllowed="1" showAll="0">
      <items count="24">
        <item x="22"/>
        <item x="15"/>
        <item x="19"/>
        <item x="20"/>
        <item x="13"/>
        <item x="21"/>
        <item x="17"/>
        <item x="16"/>
        <item x="18"/>
        <item x="14"/>
        <item x="9"/>
        <item x="6"/>
        <item x="5"/>
        <item x="1"/>
        <item x="7"/>
        <item x="12"/>
        <item x="11"/>
        <item x="0"/>
        <item x="2"/>
        <item x="3"/>
        <item x="4"/>
        <item x="8"/>
        <item h="1" x="10"/>
        <item t="default"/>
      </items>
    </pivotField>
    <pivotField showAll="0"/>
  </pivotFields>
  <rowFields count="1">
    <field x="0"/>
  </rowFields>
  <rowItems count="13">
    <i>
      <x v="57"/>
    </i>
    <i>
      <x v="68"/>
    </i>
    <i>
      <x v="65"/>
    </i>
    <i>
      <x v="40"/>
    </i>
    <i>
      <x v="87"/>
    </i>
    <i>
      <x v="44"/>
    </i>
    <i>
      <x v="52"/>
    </i>
    <i>
      <x v="41"/>
    </i>
    <i>
      <x v="35"/>
    </i>
    <i>
      <x v="58"/>
    </i>
    <i>
      <x v="30"/>
    </i>
    <i>
      <x v="104"/>
    </i>
    <i t="grand">
      <x/>
    </i>
  </rowItems>
  <colItems count="1">
    <i/>
  </colItems>
  <pageFields count="1">
    <pageField fld="8" hier="-1"/>
  </pageFields>
  <dataFields count="1">
    <dataField name="Sum of Rating" fld="8" baseField="0" baseItem="0"/>
  </dataFields>
  <pivotTableStyleInfo name="PivotStyleLight16" showRowHeaders="1" showColHeaders="1" showRowStripes="0" showColStripes="0" showLastColumn="1"/>
  <filters count="1">
    <filter fld="0" type="valueNotBetween" evalOrder="-1" id="4" iMeasureFld="0">
      <autoFilter ref="A1">
        <filterColumn colId="0">
          <customFilters>
            <customFilter operator="lessThan" val="2.2999999999999998"/>
            <customFilter operator="greaterThan" val="4.9000000000000004"/>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DD4C33-1C48-4DFF-BBED-82A32942A630}" name="Top Products by 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4:C25" firstHeaderRow="1" firstDataRow="1" firstDataCol="1"/>
  <pivotFields count="10">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5" showAll="0"/>
    <pivotField numFmtId="165" showAll="0"/>
    <pivotField showAll="0">
      <items count="4">
        <item x="1"/>
        <item x="2"/>
        <item x="0"/>
        <item t="default"/>
      </items>
    </pivotField>
    <pivotField numFmtId="165" showAll="0"/>
    <pivotField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showAll="0">
      <items count="4">
        <item x="1"/>
        <item x="2"/>
        <item x="0"/>
        <item t="default"/>
      </items>
    </pivotField>
    <pivotField showAll="0"/>
    <pivotField dataField="1" showAll="0"/>
    <pivotField showAll="0">
      <items count="6">
        <item x="2"/>
        <item x="0"/>
        <item x="3"/>
        <item x="4"/>
        <item x="1"/>
        <item t="default"/>
      </items>
    </pivotField>
  </pivotFields>
  <rowFields count="1">
    <field x="0"/>
  </rowFields>
  <rowItems count="11">
    <i>
      <x v="52"/>
    </i>
    <i>
      <x v="68"/>
    </i>
    <i>
      <x v="65"/>
    </i>
    <i>
      <x v="40"/>
    </i>
    <i>
      <x v="87"/>
    </i>
    <i>
      <x v="44"/>
    </i>
    <i>
      <x v="57"/>
    </i>
    <i>
      <x v="70"/>
    </i>
    <i>
      <x v="90"/>
    </i>
    <i>
      <x v="22"/>
    </i>
    <i t="grand">
      <x/>
    </i>
  </rowItems>
  <colItems count="1">
    <i/>
  </colItems>
  <dataFields count="1">
    <dataField name="Average of Rating" fld="8" subtotal="average" baseField="0" baseItem="0"/>
  </dataFields>
  <chartFormats count="4">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03BEC6F-3D6B-4D32-8DD3-8910966801C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0:D92" firstHeaderRow="0" firstDataRow="1" firstDataCol="1" rowPageCount="1" colPageCount="1"/>
  <pivotFields count="10">
    <pivotField name="high-discount-low-engagement"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65" showAll="0"/>
    <pivotField numFmtId="165" showAll="0"/>
    <pivotField showAll="0"/>
    <pivotField numFmtId="165" showAll="0"/>
    <pivotField dataField="1" numFmtId="9" showAll="0"/>
    <pivotField showAll="0"/>
    <pivotField axis="axisPage" dataField="1" multipleItemSelectionAllowed="1" showAll="0">
      <items count="25">
        <item x="18"/>
        <item x="0"/>
        <item x="11"/>
        <item x="4"/>
        <item x="9"/>
        <item x="3"/>
        <item x="10"/>
        <item x="20"/>
        <item x="7"/>
        <item x="13"/>
        <item x="1"/>
        <item x="5"/>
        <item h="1" x="22"/>
        <item h="1" x="23"/>
        <item h="1" x="16"/>
        <item h="1" x="2"/>
        <item h="1" x="17"/>
        <item h="1" x="19"/>
        <item h="1" x="8"/>
        <item h="1" x="12"/>
        <item h="1" x="15"/>
        <item h="1" x="6"/>
        <item h="1" x="21"/>
        <item h="1" x="14"/>
        <item t="default"/>
      </items>
    </pivotField>
    <pivotField showAll="0"/>
    <pivotField showAll="0"/>
  </pivotFields>
  <rowFields count="1">
    <field x="0"/>
  </rowFields>
  <rowItems count="12">
    <i>
      <x v="17"/>
    </i>
    <i>
      <x v="20"/>
    </i>
    <i>
      <x v="30"/>
    </i>
    <i>
      <x v="40"/>
    </i>
    <i>
      <x v="52"/>
    </i>
    <i>
      <x v="60"/>
    </i>
    <i>
      <x v="64"/>
    </i>
    <i>
      <x v="67"/>
    </i>
    <i>
      <x v="70"/>
    </i>
    <i>
      <x v="84"/>
    </i>
    <i>
      <x v="104"/>
    </i>
    <i t="grand">
      <x/>
    </i>
  </rowItems>
  <colFields count="1">
    <field x="-2"/>
  </colFields>
  <colItems count="2">
    <i>
      <x/>
    </i>
    <i i="1">
      <x v="1"/>
    </i>
  </colItems>
  <pageFields count="1">
    <pageField fld="7" hier="-1"/>
  </pageFields>
  <dataFields count="2">
    <dataField name="Average of Review" fld="7" subtotal="average" baseField="0" baseItem="0"/>
    <dataField name="Sum of Discount" fld="5" baseField="0" baseItem="0"/>
  </dataFields>
  <pivotTableStyleInfo name="PivotStyleLight16" showRowHeaders="1" showColHeaders="1" showRowStripes="0" showColStripes="0" showLastColumn="1"/>
  <filters count="1">
    <filter fld="0" type="count" evalOrder="-1" id="2"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084424F4-12B6-4E1E-9938-536943DF4C7B}" sourceName="Price Category">
  <pivotTables>
    <pivotTable tabId="7" name="Discount Mix"/>
    <pivotTable tabId="7" name="Engagement by Discount"/>
    <pivotTable tabId="7" name="Prices vs Rating"/>
    <pivotTable tabId="7" name="Top Products by Discount"/>
    <pivotTable tabId="7" name="Top Products by Rating"/>
    <pivotTable tabId="7" name="Top Products by Reviews"/>
  </pivotTables>
  <data>
    <tabular pivotCacheId="163915902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0D3E076C-2912-4A8A-A237-F3A6C12052DA}" sourceName="Discount">
  <pivotTables>
    <pivotTable tabId="7" name="Discount Mix"/>
    <pivotTable tabId="7" name="Engagement by Discount"/>
    <pivotTable tabId="7" name="Prices vs Rating"/>
    <pivotTable tabId="7" name="Top Products by Discount"/>
    <pivotTable tabId="7" name="Top Products by Rating"/>
    <pivotTable tabId="7" name="Top Products by Reviews"/>
  </pivotTables>
  <data>
    <tabular pivotCacheId="1639159024">
      <items count="46">
        <i x="44" s="1"/>
        <i x="30" s="1"/>
        <i x="33" s="1"/>
        <i x="38" s="1"/>
        <i x="42" s="1"/>
        <i x="5" s="1"/>
        <i x="41" s="1"/>
        <i x="34" s="1"/>
        <i x="40" s="1"/>
        <i x="21" s="1"/>
        <i x="16" s="1"/>
        <i x="9" s="1"/>
        <i x="43" s="1"/>
        <i x="32" s="1"/>
        <i x="19" s="1"/>
        <i x="6" s="1"/>
        <i x="2" s="1"/>
        <i x="4" s="1"/>
        <i x="26" s="1"/>
        <i x="36" s="1"/>
        <i x="23" s="1"/>
        <i x="22" s="1"/>
        <i x="12" s="1"/>
        <i x="10" s="1"/>
        <i x="18" s="1"/>
        <i x="39" s="1"/>
        <i x="3" s="1"/>
        <i x="0" s="1"/>
        <i x="35" s="1"/>
        <i x="27" s="1"/>
        <i x="28" s="1"/>
        <i x="11" s="1"/>
        <i x="37" s="1"/>
        <i x="8" s="1"/>
        <i x="14" s="1"/>
        <i x="1" s="1"/>
        <i x="25" s="1"/>
        <i x="15" s="1"/>
        <i x="29" s="1"/>
        <i x="13" s="1"/>
        <i x="24" s="1"/>
        <i x="17" s="1"/>
        <i x="20" s="1"/>
        <i x="7" s="1"/>
        <i x="31" s="1"/>
        <i x="4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37723366-C4B6-4476-BC7D-A51FA53F01C0}" sourceName="Discount Category">
  <pivotTables>
    <pivotTable tabId="7" name="Discount Mix"/>
    <pivotTable tabId="7" name="Engagement by Discount"/>
    <pivotTable tabId="7" name="Prices vs Rating"/>
    <pivotTable tabId="7" name="Top Products by Discount"/>
    <pivotTable tabId="7" name="Top Products by Rating"/>
    <pivotTable tabId="7" name="Top Products by Reviews"/>
  </pivotTables>
  <data>
    <tabular pivotCacheId="1639159024">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76D47D1A-3B9F-4184-8867-2FDA91345665}" sourceName="Rating Category">
  <pivotTables>
    <pivotTable tabId="7" name="Discount Mix"/>
    <pivotTable tabId="7" name="Engagement by Discount"/>
    <pivotTable tabId="7" name="Prices vs Rating"/>
    <pivotTable tabId="7" name="Top Products by Discount"/>
    <pivotTable tabId="7" name="Top Products by Rating"/>
    <pivotTable tabId="7" name="Top Products by Reviews"/>
    <pivotTable tabId="7" name="Rating Mix"/>
  </pivotTables>
  <data>
    <tabular pivotCacheId="1639159024">
      <items count="5">
        <i x="2" s="1"/>
        <i x="0" s="1"/>
        <i x="3"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xr10:uid="{76EA33EE-12A7-413A-89C4-CED156726664}" cache="Slicer_Price_Category" caption="Price Category" rowHeight="251883"/>
  <slicer name="Discount" xr10:uid="{C6204C9A-2501-41D6-BE45-CB3848298ED0}" cache="Slicer_Discount" caption="Discount" startItem="38" rowHeight="251883"/>
  <slicer name="Discount Category" xr10:uid="{4B5747D1-CA74-449F-9BE3-1CA7F0DFA983}" cache="Slicer_Discount_Category" caption="Discount Category" rowHeight="251883"/>
  <slicer name="Rating Category" xr10:uid="{C6787E0C-0813-4987-8B79-85613E34AC9B}" cache="Slicer_Rating_Category" caption="Rating Categor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2" xr10:uid="{94BF3D18-0843-4DAB-9444-FAFBE3AF369F}" cache="Slicer_Price_Category" caption="Price Category" style="SlicerStyleDark2" rowHeight="251883"/>
  <slicer name="Discount Category 1" xr10:uid="{7DDC84D9-1068-41EA-87B7-9E72F813C069}" cache="Slicer_Discount_Category" caption="Discount Category" style="SlicerStyleDark2" rowHeight="251883"/>
  <slicer name="Rating Category 1" xr10:uid="{1BE1BDC9-1F67-45C9-8B9D-549B24DA32B8}" cache="Slicer_Rating_Category" caption="Rating Category" style="SlicerStyleDark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BC3C6B-5D47-49CE-8613-6AB5F0F8B2A5}" name="tblProducts" displayName="tblProducts" ref="A1:J113" totalsRowShown="0">
  <autoFilter ref="A1:J113" xr:uid="{B0BC3C6B-5D47-49CE-8613-6AB5F0F8B2A5}"/>
  <tableColumns count="10">
    <tableColumn id="1" xr3:uid="{7D745674-52C6-4921-B7FB-D7BA5C18B41F}" name="Product"/>
    <tableColumn id="2" xr3:uid="{8738F64C-EF09-45B2-8C72-9037125BB86F}" name="Current Price" dataDxfId="9"/>
    <tableColumn id="3" xr3:uid="{E5910137-8F6C-49BA-9964-228AA32F8DC6}" name="Old Price" dataDxfId="8"/>
    <tableColumn id="16" xr3:uid="{5A797543-739B-4493-B9C0-C3DC41047D82}" name="Price Category" dataDxfId="7">
      <calculatedColumnFormula>IF(tblProducts[[#This Row],[Current Price]]="","Missing",IF(tblProducts[[#This Row],[Current Price]]&lt;Price_Q1,"Low Price",IF(tblProducts[[#This Row],[Current Price]]&lt;Price_Q3,"Medium Price","High Price")))</calculatedColumnFormula>
    </tableColumn>
    <tableColumn id="12" xr3:uid="{9EF4D997-DE4E-47E2-928D-AB6A3F1B5966}" name="Discount Amount" dataDxfId="6">
      <calculatedColumnFormula>tblProducts[[#This Row],[Old Price]]-tblProducts[[#This Row],[Current Price]]</calculatedColumnFormula>
    </tableColumn>
    <tableColumn id="4" xr3:uid="{7B16F7CC-67E4-4C2C-991A-8D0D06D6D7AA}" name="Discount" dataCellStyle="Percent"/>
    <tableColumn id="15" xr3:uid="{88D450A1-A130-43FF-BE8F-D508554FF80A}" name="Discount Category" dataDxfId="5" dataCellStyle="Percent">
      <calculatedColumnFormula>IF(tblProducts[[#This Row],[Discount]]="","Missing",IF(tblProducts[[#This Row],[Discount]]&lt;20%,"Low Discount",IF(tblProducts[[#This Row],[Discount]]&lt;=40%,"Medium Discount","High Discount")))</calculatedColumnFormula>
    </tableColumn>
    <tableColumn id="5" xr3:uid="{9A2EFCB2-3E6E-4D55-A077-FD45A53EFA6A}" name="Review" dataDxfId="4"/>
    <tableColumn id="6" xr3:uid="{81449033-EB22-48FE-85A4-F1BF50D7F82A}" name="Rating" dataDxfId="3"/>
    <tableColumn id="14" xr3:uid="{B839DCB2-91C7-4371-A51C-A7C0B9AD0620}" name="Rating Category" dataDxfId="2">
      <calculatedColumnFormula>IF(tblProducts[[#This Row],[Rating]]="","Missing",IF(tblProducts[[#This Row],[Rating]]&lt;3,"Poor",IF(tblProducts[[#This Row],[Rating]]&lt;=4,"Average",IF(tblProducts[[#This Row],[Rating]]&lt;4.5, "Unclassified","Excellent"))))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4D0172E-DCB0-4547-AA19-0A0364E5F10D}" name="Table10" displayName="Table10" ref="D2:E5" totalsRowShown="0">
  <autoFilter ref="D2:E5" xr:uid="{34D0172E-DCB0-4547-AA19-0A0364E5F10D}"/>
  <tableColumns count="2">
    <tableColumn id="1" xr3:uid="{5623D1A4-17A0-4245-947C-B549C04CF9CF}" name="Item"/>
    <tableColumn id="2" xr3:uid="{CEFF8F69-1156-4459-9366-2452549A5B86}" name="Coefficient"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4EC07-6229-42CF-B8C3-5B5342581B6D}">
  <dimension ref="A1:F116"/>
  <sheetViews>
    <sheetView workbookViewId="0">
      <selection activeCell="C5" sqref="C5"/>
    </sheetView>
  </sheetViews>
  <sheetFormatPr defaultRowHeight="14.5" x14ac:dyDescent="0.35"/>
  <cols>
    <col min="1" max="1" width="86.1796875" bestFit="1" customWidth="1"/>
    <col min="2" max="3" width="18.1796875" bestFit="1" customWidth="1"/>
    <col min="4" max="4" width="8.08984375" bestFit="1" customWidth="1"/>
    <col min="6" max="6" width="9.6328125" bestFit="1" customWidth="1"/>
  </cols>
  <sheetData>
    <row r="1" spans="1:6" x14ac:dyDescent="0.35">
      <c r="A1" t="s">
        <v>0</v>
      </c>
      <c r="B1" t="s">
        <v>1</v>
      </c>
      <c r="C1" t="s">
        <v>2</v>
      </c>
      <c r="D1" t="s">
        <v>3</v>
      </c>
      <c r="E1" t="s">
        <v>4</v>
      </c>
      <c r="F1" t="s">
        <v>5</v>
      </c>
    </row>
    <row r="2" spans="1:6" x14ac:dyDescent="0.35">
      <c r="A2" t="s">
        <v>6</v>
      </c>
      <c r="B2" t="s">
        <v>7</v>
      </c>
      <c r="C2" t="s">
        <v>8</v>
      </c>
      <c r="D2" s="1">
        <v>0.38</v>
      </c>
      <c r="E2">
        <v>-2</v>
      </c>
      <c r="F2" t="s">
        <v>9</v>
      </c>
    </row>
    <row r="3" spans="1:6" x14ac:dyDescent="0.35">
      <c r="A3" t="s">
        <v>10</v>
      </c>
      <c r="B3" t="s">
        <v>11</v>
      </c>
      <c r="C3" t="s">
        <v>12</v>
      </c>
      <c r="D3" s="1">
        <v>0.47</v>
      </c>
      <c r="E3">
        <v>-14</v>
      </c>
      <c r="F3" t="s">
        <v>13</v>
      </c>
    </row>
    <row r="4" spans="1:6" x14ac:dyDescent="0.35">
      <c r="A4" t="s">
        <v>14</v>
      </c>
      <c r="B4" t="s">
        <v>15</v>
      </c>
      <c r="C4" t="s">
        <v>16</v>
      </c>
      <c r="D4" s="1">
        <v>0.25</v>
      </c>
      <c r="E4">
        <v>-24</v>
      </c>
      <c r="F4" t="s">
        <v>17</v>
      </c>
    </row>
    <row r="5" spans="1:6" x14ac:dyDescent="0.35">
      <c r="A5" t="s">
        <v>18</v>
      </c>
      <c r="B5" t="s">
        <v>19</v>
      </c>
      <c r="C5" t="s">
        <v>20</v>
      </c>
      <c r="D5" s="1">
        <v>0.37</v>
      </c>
      <c r="E5">
        <v>-7</v>
      </c>
      <c r="F5" t="s">
        <v>21</v>
      </c>
    </row>
    <row r="6" spans="1:6" x14ac:dyDescent="0.35">
      <c r="A6" t="s">
        <v>22</v>
      </c>
      <c r="B6" t="s">
        <v>23</v>
      </c>
      <c r="C6" t="s">
        <v>24</v>
      </c>
      <c r="D6" s="1">
        <v>0.26</v>
      </c>
      <c r="E6">
        <v>-5</v>
      </c>
      <c r="F6" t="s">
        <v>25</v>
      </c>
    </row>
    <row r="7" spans="1:6" x14ac:dyDescent="0.35">
      <c r="A7" t="s">
        <v>26</v>
      </c>
      <c r="B7" t="s">
        <v>27</v>
      </c>
      <c r="C7" t="s">
        <v>28</v>
      </c>
      <c r="D7" s="1">
        <v>0.09</v>
      </c>
      <c r="E7">
        <v>-15</v>
      </c>
      <c r="F7" t="s">
        <v>29</v>
      </c>
    </row>
    <row r="8" spans="1:6" x14ac:dyDescent="0.35">
      <c r="A8" t="s">
        <v>30</v>
      </c>
      <c r="B8" t="s">
        <v>31</v>
      </c>
      <c r="C8" t="s">
        <v>32</v>
      </c>
      <c r="D8" s="1">
        <v>0.24</v>
      </c>
      <c r="E8">
        <v>-55</v>
      </c>
      <c r="F8" t="s">
        <v>17</v>
      </c>
    </row>
    <row r="9" spans="1:6" x14ac:dyDescent="0.35">
      <c r="A9" t="s">
        <v>33</v>
      </c>
      <c r="B9" t="s">
        <v>34</v>
      </c>
      <c r="C9" t="s">
        <v>19</v>
      </c>
      <c r="D9" s="1">
        <v>0.37</v>
      </c>
      <c r="E9">
        <v>-2</v>
      </c>
      <c r="F9" t="s">
        <v>29</v>
      </c>
    </row>
    <row r="10" spans="1:6" x14ac:dyDescent="0.35">
      <c r="A10" t="s">
        <v>35</v>
      </c>
      <c r="B10" t="s">
        <v>36</v>
      </c>
      <c r="C10" t="s">
        <v>37</v>
      </c>
      <c r="D10" s="1">
        <v>0.55000000000000004</v>
      </c>
      <c r="E10">
        <v>-5</v>
      </c>
      <c r="F10" t="s">
        <v>25</v>
      </c>
    </row>
    <row r="11" spans="1:6" x14ac:dyDescent="0.35">
      <c r="A11" t="s">
        <v>38</v>
      </c>
      <c r="B11" t="s">
        <v>39</v>
      </c>
      <c r="C11" t="s">
        <v>40</v>
      </c>
      <c r="D11" s="1">
        <v>0.45</v>
      </c>
      <c r="E11">
        <v>-5</v>
      </c>
      <c r="F11" t="s">
        <v>41</v>
      </c>
    </row>
    <row r="12" spans="1:6" x14ac:dyDescent="0.35">
      <c r="A12" t="s">
        <v>42</v>
      </c>
      <c r="B12" t="s">
        <v>43</v>
      </c>
      <c r="C12" t="s">
        <v>12</v>
      </c>
      <c r="D12" s="1">
        <v>0.2</v>
      </c>
      <c r="E12">
        <v>-12</v>
      </c>
      <c r="F12" t="s">
        <v>13</v>
      </c>
    </row>
    <row r="13" spans="1:6" x14ac:dyDescent="0.35">
      <c r="A13" t="s">
        <v>44</v>
      </c>
      <c r="B13" t="s">
        <v>45</v>
      </c>
      <c r="C13" t="s">
        <v>46</v>
      </c>
      <c r="D13" s="1">
        <v>0.34</v>
      </c>
      <c r="E13">
        <v>-39</v>
      </c>
      <c r="F13" t="s">
        <v>21</v>
      </c>
    </row>
    <row r="14" spans="1:6" x14ac:dyDescent="0.35">
      <c r="A14" t="s">
        <v>47</v>
      </c>
      <c r="B14" t="s">
        <v>48</v>
      </c>
      <c r="C14" t="s">
        <v>49</v>
      </c>
      <c r="D14" s="1">
        <v>0.47</v>
      </c>
      <c r="E14">
        <v>-12</v>
      </c>
      <c r="F14" t="s">
        <v>25</v>
      </c>
    </row>
    <row r="15" spans="1:6" x14ac:dyDescent="0.35">
      <c r="A15" t="s">
        <v>50</v>
      </c>
      <c r="B15" t="s">
        <v>51</v>
      </c>
      <c r="C15" t="s">
        <v>52</v>
      </c>
      <c r="D15" s="1">
        <v>0.42</v>
      </c>
      <c r="E15">
        <v>-6</v>
      </c>
      <c r="F15" t="s">
        <v>9</v>
      </c>
    </row>
    <row r="16" spans="1:6" x14ac:dyDescent="0.35">
      <c r="A16" t="s">
        <v>53</v>
      </c>
      <c r="B16" t="s">
        <v>54</v>
      </c>
      <c r="C16" t="s">
        <v>20</v>
      </c>
      <c r="D16" s="1">
        <v>0.33</v>
      </c>
      <c r="E16">
        <v>-9</v>
      </c>
      <c r="F16" t="s">
        <v>55</v>
      </c>
    </row>
    <row r="17" spans="1:6" x14ac:dyDescent="0.35">
      <c r="A17" t="s">
        <v>56</v>
      </c>
      <c r="B17" t="s">
        <v>57</v>
      </c>
      <c r="C17" t="s">
        <v>58</v>
      </c>
      <c r="D17" s="1">
        <v>0.51</v>
      </c>
      <c r="E17">
        <v>-2</v>
      </c>
      <c r="F17" t="s">
        <v>59</v>
      </c>
    </row>
    <row r="18" spans="1:6" x14ac:dyDescent="0.35">
      <c r="A18" t="s">
        <v>60</v>
      </c>
      <c r="B18" t="s">
        <v>61</v>
      </c>
      <c r="C18" t="s">
        <v>62</v>
      </c>
      <c r="D18" s="1">
        <v>0.46</v>
      </c>
      <c r="E18">
        <v>-2</v>
      </c>
      <c r="F18" t="s">
        <v>59</v>
      </c>
    </row>
    <row r="19" spans="1:6" x14ac:dyDescent="0.35">
      <c r="A19" t="s">
        <v>63</v>
      </c>
      <c r="B19" t="s">
        <v>64</v>
      </c>
      <c r="C19" t="s">
        <v>65</v>
      </c>
      <c r="D19" s="1">
        <v>0.49</v>
      </c>
      <c r="E19">
        <v>-3</v>
      </c>
      <c r="F19" t="s">
        <v>59</v>
      </c>
    </row>
    <row r="20" spans="1:6" x14ac:dyDescent="0.35">
      <c r="A20" t="s">
        <v>66</v>
      </c>
      <c r="B20" t="s">
        <v>27</v>
      </c>
      <c r="C20" t="s">
        <v>67</v>
      </c>
      <c r="D20" s="1">
        <v>0.19</v>
      </c>
      <c r="E20">
        <v>-5</v>
      </c>
      <c r="F20" t="s">
        <v>17</v>
      </c>
    </row>
    <row r="21" spans="1:6" x14ac:dyDescent="0.35">
      <c r="A21" t="s">
        <v>68</v>
      </c>
      <c r="B21" t="s">
        <v>69</v>
      </c>
      <c r="C21" t="s">
        <v>70</v>
      </c>
      <c r="D21" s="1">
        <v>0.49</v>
      </c>
      <c r="E21">
        <v>-44</v>
      </c>
      <c r="F21" t="s">
        <v>17</v>
      </c>
    </row>
    <row r="22" spans="1:6" x14ac:dyDescent="0.35">
      <c r="A22" t="s">
        <v>71</v>
      </c>
      <c r="B22" t="s">
        <v>72</v>
      </c>
      <c r="C22" t="s">
        <v>73</v>
      </c>
      <c r="D22" s="1">
        <v>0.53</v>
      </c>
      <c r="E22">
        <v>-13</v>
      </c>
      <c r="F22" t="s">
        <v>74</v>
      </c>
    </row>
    <row r="23" spans="1:6" x14ac:dyDescent="0.35">
      <c r="A23" t="s">
        <v>75</v>
      </c>
      <c r="B23" t="s">
        <v>76</v>
      </c>
      <c r="C23" t="s">
        <v>77</v>
      </c>
      <c r="D23" s="1">
        <v>0.42</v>
      </c>
    </row>
    <row r="24" spans="1:6" x14ac:dyDescent="0.35">
      <c r="A24" t="s">
        <v>78</v>
      </c>
      <c r="B24" t="s">
        <v>79</v>
      </c>
      <c r="C24" t="s">
        <v>80</v>
      </c>
      <c r="D24" s="1">
        <v>0.35</v>
      </c>
      <c r="E24">
        <v>-6</v>
      </c>
      <c r="F24" t="s">
        <v>29</v>
      </c>
    </row>
    <row r="25" spans="1:6" x14ac:dyDescent="0.35">
      <c r="A25" t="s">
        <v>81</v>
      </c>
      <c r="B25" t="s">
        <v>82</v>
      </c>
      <c r="C25" t="s">
        <v>83</v>
      </c>
      <c r="D25" s="1">
        <v>0.23</v>
      </c>
      <c r="E25">
        <v>-14</v>
      </c>
      <c r="F25" t="s">
        <v>84</v>
      </c>
    </row>
    <row r="26" spans="1:6" x14ac:dyDescent="0.35">
      <c r="A26" t="s">
        <v>85</v>
      </c>
      <c r="B26" t="s">
        <v>86</v>
      </c>
      <c r="C26" t="s">
        <v>87</v>
      </c>
      <c r="D26" s="1">
        <v>0.54</v>
      </c>
      <c r="E26">
        <v>-7</v>
      </c>
      <c r="F26" t="s">
        <v>88</v>
      </c>
    </row>
    <row r="27" spans="1:6" x14ac:dyDescent="0.35">
      <c r="A27" t="s">
        <v>89</v>
      </c>
      <c r="B27" t="s">
        <v>90</v>
      </c>
      <c r="C27" t="s">
        <v>91</v>
      </c>
      <c r="D27" s="1">
        <v>0.35</v>
      </c>
      <c r="E27">
        <v>-49</v>
      </c>
      <c r="F27" t="s">
        <v>17</v>
      </c>
    </row>
    <row r="28" spans="1:6" x14ac:dyDescent="0.35">
      <c r="A28" t="s">
        <v>92</v>
      </c>
      <c r="B28" t="s">
        <v>93</v>
      </c>
      <c r="C28" t="s">
        <v>94</v>
      </c>
      <c r="D28" s="1">
        <v>0.18</v>
      </c>
      <c r="E28">
        <v>-12</v>
      </c>
      <c r="F28" t="s">
        <v>41</v>
      </c>
    </row>
    <row r="29" spans="1:6" x14ac:dyDescent="0.35">
      <c r="A29" t="s">
        <v>95</v>
      </c>
      <c r="B29" t="s">
        <v>80</v>
      </c>
      <c r="C29" t="s">
        <v>96</v>
      </c>
      <c r="D29" s="1">
        <v>0.32</v>
      </c>
      <c r="E29">
        <v>-13</v>
      </c>
      <c r="F29" t="s">
        <v>41</v>
      </c>
    </row>
    <row r="30" spans="1:6" x14ac:dyDescent="0.35">
      <c r="A30" t="s">
        <v>97</v>
      </c>
      <c r="B30" t="s">
        <v>98</v>
      </c>
      <c r="C30" t="s">
        <v>20</v>
      </c>
      <c r="D30" s="1">
        <v>0.3</v>
      </c>
      <c r="E30">
        <v>-20</v>
      </c>
      <c r="F30" t="s">
        <v>13</v>
      </c>
    </row>
    <row r="31" spans="1:6" x14ac:dyDescent="0.35">
      <c r="A31" t="s">
        <v>99</v>
      </c>
      <c r="B31" t="s">
        <v>100</v>
      </c>
      <c r="C31" t="s">
        <v>101</v>
      </c>
      <c r="D31" s="1">
        <v>0.46</v>
      </c>
    </row>
    <row r="32" spans="1:6" x14ac:dyDescent="0.35">
      <c r="A32" t="s">
        <v>102</v>
      </c>
      <c r="B32" t="s">
        <v>103</v>
      </c>
      <c r="C32" t="s">
        <v>104</v>
      </c>
      <c r="D32" s="1">
        <v>0.52</v>
      </c>
      <c r="E32">
        <v>-9</v>
      </c>
      <c r="F32" t="s">
        <v>88</v>
      </c>
    </row>
    <row r="33" spans="1:6" x14ac:dyDescent="0.35">
      <c r="A33" t="s">
        <v>105</v>
      </c>
      <c r="B33" t="s">
        <v>106</v>
      </c>
      <c r="C33" t="s">
        <v>107</v>
      </c>
      <c r="D33" s="1">
        <v>0.34</v>
      </c>
      <c r="E33">
        <v>-12</v>
      </c>
      <c r="F33" t="s">
        <v>21</v>
      </c>
    </row>
    <row r="34" spans="1:6" x14ac:dyDescent="0.35">
      <c r="A34" t="s">
        <v>108</v>
      </c>
      <c r="B34" t="s">
        <v>109</v>
      </c>
      <c r="C34" t="s">
        <v>110</v>
      </c>
      <c r="D34" s="1">
        <v>0.48</v>
      </c>
      <c r="E34">
        <v>-9</v>
      </c>
      <c r="F34" t="s">
        <v>88</v>
      </c>
    </row>
    <row r="35" spans="1:6" x14ac:dyDescent="0.35">
      <c r="A35" t="s">
        <v>111</v>
      </c>
      <c r="B35" t="s">
        <v>112</v>
      </c>
      <c r="C35" t="s">
        <v>113</v>
      </c>
      <c r="D35" s="1">
        <v>0.27</v>
      </c>
      <c r="E35">
        <v>-20</v>
      </c>
      <c r="F35" t="s">
        <v>21</v>
      </c>
    </row>
    <row r="36" spans="1:6" x14ac:dyDescent="0.35">
      <c r="A36" t="s">
        <v>114</v>
      </c>
      <c r="B36" t="s">
        <v>115</v>
      </c>
      <c r="C36" t="s">
        <v>116</v>
      </c>
      <c r="D36" s="1">
        <v>0.27</v>
      </c>
      <c r="E36">
        <v>-32</v>
      </c>
      <c r="F36" t="s">
        <v>9</v>
      </c>
    </row>
    <row r="37" spans="1:6" x14ac:dyDescent="0.35">
      <c r="A37" t="s">
        <v>117</v>
      </c>
      <c r="B37" t="s">
        <v>118</v>
      </c>
      <c r="C37" t="s">
        <v>119</v>
      </c>
      <c r="D37" s="1">
        <v>0.4</v>
      </c>
      <c r="E37">
        <v>-1</v>
      </c>
      <c r="F37" t="s">
        <v>59</v>
      </c>
    </row>
    <row r="38" spans="1:6" x14ac:dyDescent="0.35">
      <c r="A38" t="s">
        <v>120</v>
      </c>
      <c r="B38" t="s">
        <v>121</v>
      </c>
      <c r="C38" t="s">
        <v>62</v>
      </c>
      <c r="D38" s="1">
        <v>0.53</v>
      </c>
      <c r="E38">
        <v>-2</v>
      </c>
      <c r="F38" t="s">
        <v>59</v>
      </c>
    </row>
    <row r="39" spans="1:6" x14ac:dyDescent="0.35">
      <c r="A39" t="s">
        <v>122</v>
      </c>
      <c r="B39" t="s">
        <v>123</v>
      </c>
      <c r="C39" t="s">
        <v>124</v>
      </c>
      <c r="D39" s="1">
        <v>0.41</v>
      </c>
      <c r="E39">
        <v>-36</v>
      </c>
      <c r="F39" t="s">
        <v>88</v>
      </c>
    </row>
    <row r="40" spans="1:6" x14ac:dyDescent="0.35">
      <c r="A40" t="s">
        <v>125</v>
      </c>
      <c r="B40" t="s">
        <v>126</v>
      </c>
      <c r="C40" t="s">
        <v>127</v>
      </c>
      <c r="D40" s="1">
        <v>0.38</v>
      </c>
      <c r="E40">
        <v>-2</v>
      </c>
      <c r="F40" t="s">
        <v>9</v>
      </c>
    </row>
    <row r="41" spans="1:6" x14ac:dyDescent="0.35">
      <c r="A41" t="s">
        <v>128</v>
      </c>
      <c r="B41" t="s">
        <v>129</v>
      </c>
      <c r="C41" t="s">
        <v>130</v>
      </c>
      <c r="D41" s="1">
        <v>0.38</v>
      </c>
    </row>
    <row r="42" spans="1:6" x14ac:dyDescent="0.35">
      <c r="A42" t="s">
        <v>131</v>
      </c>
      <c r="B42" t="s">
        <v>132</v>
      </c>
      <c r="C42" t="s">
        <v>133</v>
      </c>
      <c r="D42" s="1">
        <v>0.49</v>
      </c>
    </row>
    <row r="43" spans="1:6" x14ac:dyDescent="0.35">
      <c r="A43" t="s">
        <v>134</v>
      </c>
      <c r="B43" t="s">
        <v>135</v>
      </c>
      <c r="C43" t="s">
        <v>136</v>
      </c>
      <c r="D43" s="1">
        <v>0.5</v>
      </c>
    </row>
    <row r="44" spans="1:6" x14ac:dyDescent="0.35">
      <c r="A44" t="s">
        <v>137</v>
      </c>
      <c r="B44" t="s">
        <v>138</v>
      </c>
      <c r="C44" t="s">
        <v>139</v>
      </c>
      <c r="D44" s="1">
        <v>0.42</v>
      </c>
    </row>
    <row r="45" spans="1:6" x14ac:dyDescent="0.35">
      <c r="A45" t="s">
        <v>137</v>
      </c>
      <c r="B45" t="s">
        <v>138</v>
      </c>
      <c r="C45" t="s">
        <v>139</v>
      </c>
      <c r="D45" s="1">
        <v>0.42</v>
      </c>
    </row>
    <row r="46" spans="1:6" x14ac:dyDescent="0.35">
      <c r="A46" t="s">
        <v>140</v>
      </c>
      <c r="B46" t="s">
        <v>141</v>
      </c>
      <c r="C46" t="s">
        <v>142</v>
      </c>
      <c r="D46" s="1">
        <v>0.02</v>
      </c>
    </row>
    <row r="47" spans="1:6" x14ac:dyDescent="0.35">
      <c r="A47" t="s">
        <v>143</v>
      </c>
      <c r="B47" t="s">
        <v>12</v>
      </c>
      <c r="C47" t="s">
        <v>144</v>
      </c>
      <c r="D47" s="1">
        <v>0.5</v>
      </c>
    </row>
    <row r="48" spans="1:6" x14ac:dyDescent="0.35">
      <c r="A48" t="s">
        <v>145</v>
      </c>
      <c r="B48" t="s">
        <v>146</v>
      </c>
      <c r="C48" t="s">
        <v>147</v>
      </c>
      <c r="D48" s="1">
        <v>0.33</v>
      </c>
    </row>
    <row r="49" spans="1:6" x14ac:dyDescent="0.35">
      <c r="A49" t="s">
        <v>148</v>
      </c>
      <c r="B49" t="s">
        <v>149</v>
      </c>
      <c r="C49" t="s">
        <v>150</v>
      </c>
      <c r="D49" s="1">
        <v>0.49</v>
      </c>
    </row>
    <row r="50" spans="1:6" x14ac:dyDescent="0.35">
      <c r="A50" t="s">
        <v>151</v>
      </c>
      <c r="B50" t="s">
        <v>152</v>
      </c>
      <c r="C50" t="s">
        <v>153</v>
      </c>
      <c r="D50" s="1">
        <v>0.38</v>
      </c>
    </row>
    <row r="51" spans="1:6" x14ac:dyDescent="0.35">
      <c r="A51" t="s">
        <v>154</v>
      </c>
      <c r="B51" t="s">
        <v>155</v>
      </c>
      <c r="C51" t="s">
        <v>156</v>
      </c>
      <c r="D51" s="1">
        <v>0.61</v>
      </c>
    </row>
    <row r="52" spans="1:6" x14ac:dyDescent="0.35">
      <c r="A52" t="s">
        <v>157</v>
      </c>
      <c r="B52" t="s">
        <v>158</v>
      </c>
      <c r="C52" t="s">
        <v>159</v>
      </c>
      <c r="D52" s="1">
        <v>0.5</v>
      </c>
    </row>
    <row r="53" spans="1:6" x14ac:dyDescent="0.35">
      <c r="A53" t="s">
        <v>160</v>
      </c>
      <c r="B53" t="s">
        <v>161</v>
      </c>
      <c r="C53" t="s">
        <v>162</v>
      </c>
      <c r="D53" s="1">
        <v>0.02</v>
      </c>
    </row>
    <row r="54" spans="1:6" x14ac:dyDescent="0.35">
      <c r="A54" t="s">
        <v>163</v>
      </c>
      <c r="B54" t="s">
        <v>158</v>
      </c>
      <c r="C54" t="s">
        <v>164</v>
      </c>
      <c r="D54" s="1">
        <v>0.22</v>
      </c>
    </row>
    <row r="55" spans="1:6" x14ac:dyDescent="0.35">
      <c r="A55" t="s">
        <v>165</v>
      </c>
      <c r="B55" t="s">
        <v>166</v>
      </c>
      <c r="C55" t="s">
        <v>167</v>
      </c>
      <c r="D55" s="1">
        <v>0.03</v>
      </c>
    </row>
    <row r="56" spans="1:6" x14ac:dyDescent="0.35">
      <c r="A56" t="s">
        <v>168</v>
      </c>
      <c r="B56" t="s">
        <v>43</v>
      </c>
      <c r="C56" t="s">
        <v>169</v>
      </c>
      <c r="D56" s="1">
        <v>0.41</v>
      </c>
    </row>
    <row r="57" spans="1:6" x14ac:dyDescent="0.35">
      <c r="A57" t="s">
        <v>170</v>
      </c>
      <c r="B57" t="s">
        <v>171</v>
      </c>
      <c r="C57" t="s">
        <v>172</v>
      </c>
      <c r="D57" s="1">
        <v>0.45</v>
      </c>
    </row>
    <row r="58" spans="1:6" x14ac:dyDescent="0.35">
      <c r="A58" t="s">
        <v>173</v>
      </c>
      <c r="B58" t="s">
        <v>174</v>
      </c>
      <c r="C58" t="s">
        <v>169</v>
      </c>
      <c r="D58" s="1">
        <v>0.48</v>
      </c>
    </row>
    <row r="59" spans="1:6" x14ac:dyDescent="0.35">
      <c r="A59" t="s">
        <v>175</v>
      </c>
      <c r="B59" t="s">
        <v>43</v>
      </c>
      <c r="C59" t="s">
        <v>176</v>
      </c>
      <c r="D59" s="1">
        <v>0.49</v>
      </c>
    </row>
    <row r="60" spans="1:6" x14ac:dyDescent="0.35">
      <c r="A60" t="s">
        <v>177</v>
      </c>
      <c r="B60" t="s">
        <v>178</v>
      </c>
      <c r="C60" t="s">
        <v>179</v>
      </c>
      <c r="D60" s="1">
        <v>0.27</v>
      </c>
    </row>
    <row r="61" spans="1:6" x14ac:dyDescent="0.35">
      <c r="A61" t="s">
        <v>170</v>
      </c>
      <c r="B61" t="s">
        <v>180</v>
      </c>
      <c r="C61" t="s">
        <v>181</v>
      </c>
      <c r="D61" s="1">
        <v>0.55000000000000004</v>
      </c>
    </row>
    <row r="62" spans="1:6" x14ac:dyDescent="0.35">
      <c r="A62" t="s">
        <v>182</v>
      </c>
      <c r="B62" t="s">
        <v>183</v>
      </c>
      <c r="C62" t="s">
        <v>184</v>
      </c>
      <c r="D62" s="1">
        <v>0.13</v>
      </c>
      <c r="E62">
        <v>-6</v>
      </c>
      <c r="F62" t="s">
        <v>185</v>
      </c>
    </row>
    <row r="63" spans="1:6" x14ac:dyDescent="0.35">
      <c r="A63" t="s">
        <v>186</v>
      </c>
      <c r="B63" t="s">
        <v>187</v>
      </c>
      <c r="C63" t="s">
        <v>188</v>
      </c>
      <c r="D63" s="1">
        <v>0.54</v>
      </c>
      <c r="E63">
        <v>-10</v>
      </c>
      <c r="F63" t="s">
        <v>189</v>
      </c>
    </row>
    <row r="64" spans="1:6" x14ac:dyDescent="0.35">
      <c r="A64" t="s">
        <v>190</v>
      </c>
      <c r="B64" t="s">
        <v>191</v>
      </c>
      <c r="C64" t="s">
        <v>192</v>
      </c>
      <c r="D64" s="1">
        <v>0.55000000000000004</v>
      </c>
      <c r="E64">
        <v>-13</v>
      </c>
      <c r="F64" t="s">
        <v>193</v>
      </c>
    </row>
    <row r="65" spans="1:6" x14ac:dyDescent="0.35">
      <c r="A65" t="s">
        <v>194</v>
      </c>
      <c r="B65" t="s">
        <v>195</v>
      </c>
      <c r="C65" t="s">
        <v>196</v>
      </c>
      <c r="D65" s="1">
        <v>0.49</v>
      </c>
      <c r="E65">
        <v>-69</v>
      </c>
      <c r="F65" t="s">
        <v>197</v>
      </c>
    </row>
    <row r="66" spans="1:6" x14ac:dyDescent="0.35">
      <c r="A66" t="s">
        <v>198</v>
      </c>
      <c r="B66" t="s">
        <v>199</v>
      </c>
      <c r="C66" t="s">
        <v>200</v>
      </c>
      <c r="D66" s="1">
        <v>0.52</v>
      </c>
      <c r="E66">
        <v>-15</v>
      </c>
      <c r="F66" t="s">
        <v>201</v>
      </c>
    </row>
    <row r="67" spans="1:6" x14ac:dyDescent="0.35">
      <c r="A67" t="s">
        <v>202</v>
      </c>
      <c r="B67" t="s">
        <v>203</v>
      </c>
      <c r="C67" t="s">
        <v>204</v>
      </c>
      <c r="D67" s="1">
        <v>0.22</v>
      </c>
      <c r="E67">
        <v>-16</v>
      </c>
      <c r="F67" t="s">
        <v>205</v>
      </c>
    </row>
    <row r="68" spans="1:6" x14ac:dyDescent="0.35">
      <c r="A68" t="s">
        <v>206</v>
      </c>
      <c r="B68" t="s">
        <v>45</v>
      </c>
      <c r="C68" t="s">
        <v>207</v>
      </c>
      <c r="D68" s="1">
        <v>0.45</v>
      </c>
      <c r="E68">
        <v>-6</v>
      </c>
      <c r="F68" t="s">
        <v>208</v>
      </c>
    </row>
    <row r="69" spans="1:6" x14ac:dyDescent="0.35">
      <c r="A69" t="s">
        <v>209</v>
      </c>
      <c r="B69" t="s">
        <v>210</v>
      </c>
      <c r="C69" t="s">
        <v>144</v>
      </c>
      <c r="D69" s="1">
        <v>0.5</v>
      </c>
      <c r="E69">
        <v>-7</v>
      </c>
      <c r="F69" t="s">
        <v>211</v>
      </c>
    </row>
    <row r="70" spans="1:6" x14ac:dyDescent="0.35">
      <c r="A70" t="s">
        <v>212</v>
      </c>
      <c r="B70" t="s">
        <v>213</v>
      </c>
      <c r="C70" t="s">
        <v>214</v>
      </c>
      <c r="D70" s="1">
        <v>0.39</v>
      </c>
      <c r="E70">
        <v>-5</v>
      </c>
      <c r="F70" t="s">
        <v>189</v>
      </c>
    </row>
    <row r="71" spans="1:6" x14ac:dyDescent="0.35">
      <c r="A71" t="s">
        <v>215</v>
      </c>
      <c r="B71" t="s">
        <v>104</v>
      </c>
      <c r="C71" t="s">
        <v>216</v>
      </c>
      <c r="D71" s="1">
        <v>0.45</v>
      </c>
      <c r="E71">
        <v>-17</v>
      </c>
      <c r="F71" t="s">
        <v>217</v>
      </c>
    </row>
    <row r="72" spans="1:6" x14ac:dyDescent="0.35">
      <c r="A72" t="s">
        <v>218</v>
      </c>
      <c r="B72" t="s">
        <v>219</v>
      </c>
      <c r="C72" t="s">
        <v>220</v>
      </c>
      <c r="D72" s="1">
        <v>0.28999999999999998</v>
      </c>
      <c r="E72">
        <v>-5</v>
      </c>
      <c r="F72" t="s">
        <v>189</v>
      </c>
    </row>
    <row r="73" spans="1:6" x14ac:dyDescent="0.35">
      <c r="A73" t="s">
        <v>221</v>
      </c>
      <c r="B73" t="s">
        <v>222</v>
      </c>
      <c r="C73" t="s">
        <v>223</v>
      </c>
      <c r="D73" s="1">
        <v>0.43</v>
      </c>
      <c r="E73">
        <v>-6</v>
      </c>
      <c r="F73" t="s">
        <v>211</v>
      </c>
    </row>
    <row r="74" spans="1:6" x14ac:dyDescent="0.35">
      <c r="A74" t="s">
        <v>224</v>
      </c>
      <c r="B74" t="s">
        <v>225</v>
      </c>
      <c r="C74" t="s">
        <v>226</v>
      </c>
      <c r="D74" s="1">
        <v>0.43</v>
      </c>
      <c r="E74">
        <v>-5</v>
      </c>
      <c r="F74" t="s">
        <v>189</v>
      </c>
    </row>
    <row r="75" spans="1:6" x14ac:dyDescent="0.35">
      <c r="A75" t="s">
        <v>227</v>
      </c>
      <c r="B75" t="s">
        <v>228</v>
      </c>
      <c r="C75" t="s">
        <v>207</v>
      </c>
      <c r="D75" s="1">
        <v>0.47</v>
      </c>
      <c r="E75">
        <v>-6</v>
      </c>
      <c r="F75" t="s">
        <v>208</v>
      </c>
    </row>
    <row r="76" spans="1:6" x14ac:dyDescent="0.35">
      <c r="A76" t="s">
        <v>229</v>
      </c>
      <c r="B76" t="s">
        <v>230</v>
      </c>
      <c r="C76" t="s">
        <v>231</v>
      </c>
      <c r="D76" s="1">
        <v>0.47</v>
      </c>
      <c r="E76">
        <v>-7</v>
      </c>
      <c r="F76" t="s">
        <v>193</v>
      </c>
    </row>
    <row r="77" spans="1:6" x14ac:dyDescent="0.35">
      <c r="A77" t="s">
        <v>232</v>
      </c>
      <c r="B77" t="s">
        <v>233</v>
      </c>
      <c r="C77" t="s">
        <v>234</v>
      </c>
      <c r="D77" s="1">
        <v>0.47</v>
      </c>
    </row>
    <row r="78" spans="1:6" x14ac:dyDescent="0.35">
      <c r="A78" t="s">
        <v>235</v>
      </c>
      <c r="B78" t="s">
        <v>236</v>
      </c>
      <c r="C78" t="s">
        <v>152</v>
      </c>
      <c r="D78" s="1">
        <v>0.43</v>
      </c>
    </row>
    <row r="79" spans="1:6" x14ac:dyDescent="0.35">
      <c r="A79" t="s">
        <v>237</v>
      </c>
      <c r="B79" t="s">
        <v>238</v>
      </c>
      <c r="C79" t="s">
        <v>239</v>
      </c>
      <c r="D79" s="1">
        <v>0.04</v>
      </c>
    </row>
    <row r="80" spans="1:6" x14ac:dyDescent="0.35">
      <c r="A80" t="s">
        <v>240</v>
      </c>
      <c r="B80" t="s">
        <v>241</v>
      </c>
      <c r="C80" t="s">
        <v>242</v>
      </c>
      <c r="D80" s="1">
        <v>0.49</v>
      </c>
    </row>
    <row r="81" spans="1:6" x14ac:dyDescent="0.35">
      <c r="A81" t="s">
        <v>243</v>
      </c>
      <c r="B81" t="s">
        <v>244</v>
      </c>
      <c r="C81" t="s">
        <v>15</v>
      </c>
      <c r="D81" s="1">
        <v>0.46</v>
      </c>
      <c r="E81">
        <v>-1</v>
      </c>
      <c r="F81" t="s">
        <v>189</v>
      </c>
    </row>
    <row r="82" spans="1:6" x14ac:dyDescent="0.35">
      <c r="A82" t="s">
        <v>245</v>
      </c>
      <c r="B82" t="s">
        <v>246</v>
      </c>
      <c r="C82" t="s">
        <v>247</v>
      </c>
      <c r="D82" s="1">
        <v>0.49</v>
      </c>
      <c r="E82">
        <v>-1</v>
      </c>
      <c r="F82" t="s">
        <v>59</v>
      </c>
    </row>
    <row r="83" spans="1:6" x14ac:dyDescent="0.35">
      <c r="A83" t="s">
        <v>248</v>
      </c>
      <c r="B83" t="s">
        <v>249</v>
      </c>
      <c r="C83" t="s">
        <v>250</v>
      </c>
      <c r="D83" s="1">
        <v>0.36</v>
      </c>
    </row>
    <row r="84" spans="1:6" x14ac:dyDescent="0.35">
      <c r="A84" t="s">
        <v>251</v>
      </c>
      <c r="B84" t="s">
        <v>252</v>
      </c>
      <c r="C84" t="s">
        <v>162</v>
      </c>
      <c r="D84" s="1">
        <v>0.02</v>
      </c>
    </row>
    <row r="85" spans="1:6" x14ac:dyDescent="0.35">
      <c r="A85" t="s">
        <v>253</v>
      </c>
      <c r="B85" t="s">
        <v>254</v>
      </c>
      <c r="C85" t="s">
        <v>91</v>
      </c>
      <c r="D85" s="1">
        <v>0.49</v>
      </c>
      <c r="E85">
        <v>-1</v>
      </c>
      <c r="F85" t="s">
        <v>29</v>
      </c>
    </row>
    <row r="86" spans="1:6" x14ac:dyDescent="0.35">
      <c r="A86" t="s">
        <v>137</v>
      </c>
      <c r="B86" t="s">
        <v>138</v>
      </c>
      <c r="C86" t="s">
        <v>139</v>
      </c>
      <c r="D86" s="1">
        <v>0.42</v>
      </c>
    </row>
    <row r="87" spans="1:6" x14ac:dyDescent="0.35">
      <c r="A87" t="s">
        <v>154</v>
      </c>
      <c r="B87" t="s">
        <v>255</v>
      </c>
      <c r="C87" t="s">
        <v>222</v>
      </c>
      <c r="D87" s="1">
        <v>0.49</v>
      </c>
    </row>
    <row r="88" spans="1:6" x14ac:dyDescent="0.35">
      <c r="A88" t="s">
        <v>256</v>
      </c>
      <c r="B88" t="s">
        <v>257</v>
      </c>
      <c r="C88" t="s">
        <v>162</v>
      </c>
      <c r="D88" s="1">
        <v>0.14000000000000001</v>
      </c>
    </row>
    <row r="89" spans="1:6" x14ac:dyDescent="0.35">
      <c r="A89" t="s">
        <v>258</v>
      </c>
      <c r="B89" t="s">
        <v>259</v>
      </c>
      <c r="C89" t="s">
        <v>260</v>
      </c>
      <c r="D89" s="1">
        <v>0.49</v>
      </c>
    </row>
    <row r="90" spans="1:6" x14ac:dyDescent="0.35">
      <c r="A90" t="s">
        <v>261</v>
      </c>
      <c r="B90" t="s">
        <v>43</v>
      </c>
      <c r="C90" t="s">
        <v>172</v>
      </c>
      <c r="D90" s="1">
        <v>0.11</v>
      </c>
    </row>
    <row r="91" spans="1:6" x14ac:dyDescent="0.35">
      <c r="A91" t="s">
        <v>175</v>
      </c>
      <c r="B91" t="s">
        <v>262</v>
      </c>
      <c r="C91" t="s">
        <v>263</v>
      </c>
      <c r="D91" s="1">
        <v>0.49</v>
      </c>
    </row>
    <row r="92" spans="1:6" x14ac:dyDescent="0.35">
      <c r="A92" t="s">
        <v>264</v>
      </c>
      <c r="B92" t="s">
        <v>265</v>
      </c>
      <c r="C92" t="s">
        <v>162</v>
      </c>
      <c r="D92" s="1">
        <v>0.14000000000000001</v>
      </c>
    </row>
    <row r="93" spans="1:6" x14ac:dyDescent="0.35">
      <c r="A93" t="s">
        <v>266</v>
      </c>
      <c r="B93" t="s">
        <v>267</v>
      </c>
      <c r="C93" t="s">
        <v>268</v>
      </c>
      <c r="D93" s="1">
        <v>0.43</v>
      </c>
    </row>
    <row r="94" spans="1:6" x14ac:dyDescent="0.35">
      <c r="A94" t="s">
        <v>269</v>
      </c>
      <c r="B94" t="s">
        <v>270</v>
      </c>
      <c r="C94" t="s">
        <v>271</v>
      </c>
      <c r="D94" s="1">
        <v>0.5</v>
      </c>
    </row>
    <row r="95" spans="1:6" x14ac:dyDescent="0.35">
      <c r="A95" t="s">
        <v>272</v>
      </c>
      <c r="B95" t="s">
        <v>273</v>
      </c>
      <c r="C95" t="s">
        <v>184</v>
      </c>
      <c r="D95" s="1">
        <v>0.48</v>
      </c>
    </row>
    <row r="96" spans="1:6" x14ac:dyDescent="0.35">
      <c r="A96" t="s">
        <v>274</v>
      </c>
      <c r="B96" t="s">
        <v>275</v>
      </c>
      <c r="C96" t="s">
        <v>276</v>
      </c>
      <c r="D96" s="1">
        <v>0.48</v>
      </c>
    </row>
    <row r="97" spans="1:6" x14ac:dyDescent="0.35">
      <c r="A97" t="s">
        <v>277</v>
      </c>
      <c r="B97" t="s">
        <v>226</v>
      </c>
      <c r="C97" t="s">
        <v>162</v>
      </c>
      <c r="D97" s="1">
        <v>0.47</v>
      </c>
    </row>
    <row r="98" spans="1:6" x14ac:dyDescent="0.35">
      <c r="A98" t="s">
        <v>277</v>
      </c>
      <c r="B98" t="s">
        <v>226</v>
      </c>
      <c r="C98" t="s">
        <v>162</v>
      </c>
      <c r="D98" s="1">
        <v>0.47</v>
      </c>
    </row>
    <row r="99" spans="1:6" x14ac:dyDescent="0.35">
      <c r="A99" t="s">
        <v>278</v>
      </c>
      <c r="B99" t="s">
        <v>152</v>
      </c>
      <c r="C99" t="s">
        <v>279</v>
      </c>
      <c r="D99" s="1">
        <v>0.5</v>
      </c>
    </row>
    <row r="100" spans="1:6" x14ac:dyDescent="0.35">
      <c r="A100" t="s">
        <v>280</v>
      </c>
      <c r="B100" t="s">
        <v>281</v>
      </c>
      <c r="C100" t="s">
        <v>161</v>
      </c>
      <c r="D100" s="1">
        <v>0.08</v>
      </c>
    </row>
    <row r="101" spans="1:6" x14ac:dyDescent="0.35">
      <c r="A101" t="s">
        <v>282</v>
      </c>
      <c r="B101" t="s">
        <v>283</v>
      </c>
      <c r="C101" t="s">
        <v>167</v>
      </c>
      <c r="D101" s="1">
        <v>0.02</v>
      </c>
    </row>
    <row r="102" spans="1:6" x14ac:dyDescent="0.35">
      <c r="A102" t="s">
        <v>284</v>
      </c>
      <c r="B102" t="s">
        <v>285</v>
      </c>
      <c r="C102" t="s">
        <v>286</v>
      </c>
      <c r="D102" s="1">
        <v>0.49</v>
      </c>
    </row>
    <row r="103" spans="1:6" x14ac:dyDescent="0.35">
      <c r="A103" t="s">
        <v>287</v>
      </c>
      <c r="B103" t="s">
        <v>288</v>
      </c>
      <c r="C103" t="s">
        <v>67</v>
      </c>
      <c r="D103" s="1">
        <v>0.04</v>
      </c>
    </row>
    <row r="104" spans="1:6" x14ac:dyDescent="0.35">
      <c r="A104" t="s">
        <v>289</v>
      </c>
      <c r="B104" t="s">
        <v>290</v>
      </c>
      <c r="C104" t="s">
        <v>291</v>
      </c>
      <c r="D104" s="1">
        <v>0.49</v>
      </c>
    </row>
    <row r="105" spans="1:6" x14ac:dyDescent="0.35">
      <c r="A105" t="s">
        <v>292</v>
      </c>
      <c r="B105" t="s">
        <v>293</v>
      </c>
      <c r="C105" t="s">
        <v>294</v>
      </c>
      <c r="D105" s="1">
        <v>0.42</v>
      </c>
    </row>
    <row r="106" spans="1:6" x14ac:dyDescent="0.35">
      <c r="A106" t="s">
        <v>295</v>
      </c>
      <c r="B106" t="s">
        <v>296</v>
      </c>
      <c r="C106" t="s">
        <v>297</v>
      </c>
      <c r="D106" s="1">
        <v>0.21</v>
      </c>
      <c r="E106">
        <v>-1</v>
      </c>
      <c r="F106" t="s">
        <v>59</v>
      </c>
    </row>
    <row r="107" spans="1:6" x14ac:dyDescent="0.35">
      <c r="A107" t="s">
        <v>298</v>
      </c>
      <c r="B107" t="s">
        <v>299</v>
      </c>
      <c r="C107" t="s">
        <v>300</v>
      </c>
      <c r="D107" s="1">
        <v>0.41</v>
      </c>
    </row>
    <row r="108" spans="1:6" x14ac:dyDescent="0.35">
      <c r="A108" t="s">
        <v>301</v>
      </c>
      <c r="B108" t="s">
        <v>302</v>
      </c>
      <c r="C108" t="s">
        <v>303</v>
      </c>
      <c r="D108" s="1">
        <v>0.01</v>
      </c>
    </row>
    <row r="109" spans="1:6" x14ac:dyDescent="0.35">
      <c r="A109" t="s">
        <v>304</v>
      </c>
      <c r="B109" t="s">
        <v>305</v>
      </c>
      <c r="C109" t="s">
        <v>306</v>
      </c>
      <c r="D109" s="1">
        <v>0.24</v>
      </c>
    </row>
    <row r="110" spans="1:6" x14ac:dyDescent="0.35">
      <c r="A110" t="s">
        <v>307</v>
      </c>
      <c r="B110" t="s">
        <v>308</v>
      </c>
      <c r="C110" t="s">
        <v>309</v>
      </c>
      <c r="D110" s="1">
        <v>0.34</v>
      </c>
    </row>
    <row r="111" spans="1:6" x14ac:dyDescent="0.35">
      <c r="A111" t="s">
        <v>310</v>
      </c>
      <c r="B111" t="s">
        <v>146</v>
      </c>
      <c r="C111" t="s">
        <v>311</v>
      </c>
      <c r="D111" s="1">
        <v>0.34</v>
      </c>
    </row>
    <row r="112" spans="1:6" x14ac:dyDescent="0.35">
      <c r="A112" t="s">
        <v>312</v>
      </c>
      <c r="B112" t="s">
        <v>313</v>
      </c>
      <c r="C112" t="s">
        <v>162</v>
      </c>
      <c r="D112" s="1">
        <v>0.02</v>
      </c>
    </row>
    <row r="113" spans="1:6" x14ac:dyDescent="0.35">
      <c r="A113" t="s">
        <v>314</v>
      </c>
      <c r="B113" t="s">
        <v>315</v>
      </c>
      <c r="C113" t="s">
        <v>239</v>
      </c>
      <c r="D113" s="1">
        <v>0.02</v>
      </c>
    </row>
    <row r="114" spans="1:6" x14ac:dyDescent="0.35">
      <c r="A114" t="s">
        <v>316</v>
      </c>
      <c r="B114" t="s">
        <v>155</v>
      </c>
      <c r="C114" t="s">
        <v>317</v>
      </c>
      <c r="D114" s="1">
        <v>0.64</v>
      </c>
    </row>
    <row r="115" spans="1:6" x14ac:dyDescent="0.35">
      <c r="A115" t="s">
        <v>318</v>
      </c>
      <c r="B115" t="s">
        <v>242</v>
      </c>
      <c r="C115" t="s">
        <v>172</v>
      </c>
      <c r="D115" s="1">
        <v>0.5</v>
      </c>
      <c r="E115">
        <v>-1</v>
      </c>
      <c r="F115" t="s">
        <v>319</v>
      </c>
    </row>
    <row r="116" spans="1:6" x14ac:dyDescent="0.35">
      <c r="A116" t="s">
        <v>320</v>
      </c>
      <c r="B116" t="s">
        <v>321</v>
      </c>
      <c r="C116" t="s">
        <v>322</v>
      </c>
      <c r="D116" s="1">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2DF89-0ACA-45C6-BFAA-4C35F7A62061}">
  <dimension ref="A1:J116"/>
  <sheetViews>
    <sheetView topLeftCell="A2" zoomScale="70" zoomScaleNormal="70" workbookViewId="0">
      <selection activeCell="A16" sqref="A16"/>
    </sheetView>
  </sheetViews>
  <sheetFormatPr defaultRowHeight="14.5" x14ac:dyDescent="0.35"/>
  <cols>
    <col min="1" max="1" width="86.1796875" bestFit="1" customWidth="1"/>
    <col min="2" max="2" width="14.08984375" style="5" bestFit="1" customWidth="1"/>
    <col min="3" max="3" width="18.1796875" style="5" bestFit="1" customWidth="1"/>
    <col min="4" max="5" width="18.1796875" style="5" customWidth="1"/>
    <col min="6" max="6" width="18.1796875" style="6" customWidth="1"/>
    <col min="7" max="7" width="10.6328125" style="6" bestFit="1" customWidth="1"/>
    <col min="8" max="8" width="18.453125" style="6" bestFit="1" customWidth="1"/>
    <col min="9" max="9" width="9.08984375" bestFit="1" customWidth="1"/>
    <col min="10" max="10" width="17.26953125" style="3" bestFit="1" customWidth="1"/>
    <col min="11" max="11" width="62.36328125" bestFit="1" customWidth="1"/>
  </cols>
  <sheetData>
    <row r="1" spans="1:10" x14ac:dyDescent="0.35">
      <c r="A1" t="s">
        <v>0</v>
      </c>
      <c r="B1" s="5" t="s">
        <v>391</v>
      </c>
      <c r="C1" s="5" t="s">
        <v>390</v>
      </c>
      <c r="D1" s="5" t="s">
        <v>370</v>
      </c>
      <c r="E1" s="5" t="s">
        <v>367</v>
      </c>
      <c r="F1" s="6" t="s">
        <v>3</v>
      </c>
      <c r="G1" s="6" t="s">
        <v>369</v>
      </c>
      <c r="H1" t="s">
        <v>4</v>
      </c>
      <c r="I1" s="3" t="s">
        <v>342</v>
      </c>
      <c r="J1" s="3" t="s">
        <v>368</v>
      </c>
    </row>
    <row r="2" spans="1:10" x14ac:dyDescent="0.35">
      <c r="A2" t="s">
        <v>361</v>
      </c>
      <c r="B2" s="5">
        <v>950</v>
      </c>
      <c r="C2" s="5">
        <v>1525</v>
      </c>
      <c r="D2" s="5" t="str">
        <f>IF(tblProducts[[#This Row],[Current Price]]="","Missing",IF(tblProducts[[#This Row],[Current Price]]&lt;Price_Q1,"Low Price",IF(tblProducts[[#This Row],[Current Price]]&lt;Price_Q3,"Medium Price","High Price")))</f>
        <v>Medium Price</v>
      </c>
      <c r="E2" s="5">
        <f>tblProducts[[#This Row],[Old Price]]-tblProducts[[#This Row],[Current Price]]</f>
        <v>575</v>
      </c>
      <c r="F2" s="6">
        <v>0.38</v>
      </c>
      <c r="G2" s="6" t="str">
        <f>IF(tblProducts[[#This Row],[Discount]]="","Missing",IF(tblProducts[[#This Row],[Discount]]&lt;20%,"Low Discount",IF(tblProducts[[#This Row],[Discount]]&lt;=40%,"Medium Discount","High Discount")))</f>
        <v>Medium Discount</v>
      </c>
      <c r="H2" s="7">
        <v>2</v>
      </c>
      <c r="I2" s="3">
        <v>4.5</v>
      </c>
      <c r="J2" s="3" t="str">
        <f>IF(tblProducts[[#This Row],[Rating]]="","Missing",IF(tblProducts[[#This Row],[Rating]]&lt;3,"Poor",IF(tblProducts[[#This Row],[Rating]]&lt;=4,"Average",IF(tblProducts[[#This Row],[Rating]]&lt;4.5, "Unclassified","Excellent"))))</f>
        <v>Excellent</v>
      </c>
    </row>
    <row r="3" spans="1:10" x14ac:dyDescent="0.35">
      <c r="A3" t="s">
        <v>10</v>
      </c>
      <c r="B3" s="5">
        <v>527</v>
      </c>
      <c r="C3" s="5">
        <v>999</v>
      </c>
      <c r="D3" s="5" t="str">
        <f>IF(tblProducts[[#This Row],[Current Price]]="","Missing",IF(tblProducts[[#This Row],[Current Price]]&lt;Price_Q1,"Low Price",IF(tblProducts[[#This Row],[Current Price]]&lt;Price_Q3,"Medium Price","High Price")))</f>
        <v>Medium Price</v>
      </c>
      <c r="E3" s="5">
        <f>tblProducts[[#This Row],[Old Price]]-tblProducts[[#This Row],[Current Price]]</f>
        <v>472</v>
      </c>
      <c r="F3" s="6">
        <v>0.47</v>
      </c>
      <c r="G3" s="6" t="str">
        <f>IF(tblProducts[[#This Row],[Discount]]="","Missing",IF(tblProducts[[#This Row],[Discount]]&lt;20%,"Low Discount",IF(tblProducts[[#This Row],[Discount]]&lt;=40%,"Medium Discount","High Discount")))</f>
        <v>High Discount</v>
      </c>
      <c r="H3" s="7">
        <v>14</v>
      </c>
      <c r="I3" s="3">
        <v>4.0999999999999996</v>
      </c>
      <c r="J3" s="3" t="str">
        <f>IF(tblProducts[[#This Row],[Rating]]="","Missing",IF(tblProducts[[#This Row],[Rating]]&lt;3,"Poor",IF(tblProducts[[#This Row],[Rating]]&lt;=4,"Average",IF(tblProducts[[#This Row],[Rating]]&lt;4.5, "Unclassified","Excellent"))))</f>
        <v>Unclassified</v>
      </c>
    </row>
    <row r="4" spans="1:10" x14ac:dyDescent="0.35">
      <c r="A4" t="s">
        <v>14</v>
      </c>
      <c r="B4" s="5">
        <v>2199</v>
      </c>
      <c r="C4" s="5">
        <v>2923</v>
      </c>
      <c r="D4" s="5" t="str">
        <f>IF(tblProducts[[#This Row],[Current Price]]="","Missing",IF(tblProducts[[#This Row],[Current Price]]&lt;Price_Q1,"Low Price",IF(tblProducts[[#This Row],[Current Price]]&lt;Price_Q3,"Medium Price","High Price")))</f>
        <v>High Price</v>
      </c>
      <c r="E4" s="5">
        <f>tblProducts[[#This Row],[Old Price]]-tblProducts[[#This Row],[Current Price]]</f>
        <v>724</v>
      </c>
      <c r="F4" s="6">
        <v>0.25</v>
      </c>
      <c r="G4" s="6" t="str">
        <f>IF(tblProducts[[#This Row],[Discount]]="","Missing",IF(tblProducts[[#This Row],[Discount]]&lt;20%,"Low Discount",IF(tblProducts[[#This Row],[Discount]]&lt;=40%,"Medium Discount","High Discount")))</f>
        <v>Medium Discount</v>
      </c>
      <c r="H4" s="7">
        <v>24</v>
      </c>
      <c r="I4" s="3">
        <v>4.5999999999999996</v>
      </c>
      <c r="J4" s="3" t="str">
        <f>IF(tblProducts[[#This Row],[Rating]]="","Missing",IF(tblProducts[[#This Row],[Rating]]&lt;3,"Poor",IF(tblProducts[[#This Row],[Rating]]&lt;=4,"Average",IF(tblProducts[[#This Row],[Rating]]&lt;4.5, "Unclassified","Excellent"))))</f>
        <v>Excellent</v>
      </c>
    </row>
    <row r="5" spans="1:10" x14ac:dyDescent="0.35">
      <c r="A5" t="s">
        <v>18</v>
      </c>
      <c r="B5" s="5">
        <v>1580</v>
      </c>
      <c r="C5" s="5">
        <v>2499</v>
      </c>
      <c r="D5" s="5" t="str">
        <f>IF(tblProducts[[#This Row],[Current Price]]="","Missing",IF(tblProducts[[#This Row],[Current Price]]&lt;Price_Q1,"Low Price",IF(tblProducts[[#This Row],[Current Price]]&lt;Price_Q3,"Medium Price","High Price")))</f>
        <v>Medium Price</v>
      </c>
      <c r="E5" s="5">
        <f>tblProducts[[#This Row],[Old Price]]-tblProducts[[#This Row],[Current Price]]</f>
        <v>919</v>
      </c>
      <c r="F5" s="6">
        <v>0.37</v>
      </c>
      <c r="G5" s="6" t="str">
        <f>IF(tblProducts[[#This Row],[Discount]]="","Missing",IF(tblProducts[[#This Row],[Discount]]&lt;20%,"Low Discount",IF(tblProducts[[#This Row],[Discount]]&lt;=40%,"Medium Discount","High Discount")))</f>
        <v>Medium Discount</v>
      </c>
      <c r="H5" s="7">
        <v>7</v>
      </c>
      <c r="I5" s="3">
        <v>4.7</v>
      </c>
      <c r="J5" s="3" t="str">
        <f>IF(tblProducts[[#This Row],[Rating]]="","Missing",IF(tblProducts[[#This Row],[Rating]]&lt;3,"Poor",IF(tblProducts[[#This Row],[Rating]]&lt;=4,"Average",IF(tblProducts[[#This Row],[Rating]]&lt;4.5, "Unclassified","Excellent"))))</f>
        <v>Excellent</v>
      </c>
    </row>
    <row r="6" spans="1:10" x14ac:dyDescent="0.35">
      <c r="A6" t="s">
        <v>22</v>
      </c>
      <c r="B6" s="5">
        <v>1740</v>
      </c>
      <c r="C6" s="5">
        <v>2356</v>
      </c>
      <c r="D6" s="5" t="str">
        <f>IF(tblProducts[[#This Row],[Current Price]]="","Missing",IF(tblProducts[[#This Row],[Current Price]]&lt;Price_Q1,"Low Price",IF(tblProducts[[#This Row],[Current Price]]&lt;Price_Q3,"Medium Price","High Price")))</f>
        <v>High Price</v>
      </c>
      <c r="E6" s="5">
        <f>tblProducts[[#This Row],[Old Price]]-tblProducts[[#This Row],[Current Price]]</f>
        <v>616</v>
      </c>
      <c r="F6" s="6">
        <v>0.26</v>
      </c>
      <c r="G6" s="6" t="str">
        <f>IF(tblProducts[[#This Row],[Discount]]="","Missing",IF(tblProducts[[#This Row],[Discount]]&lt;20%,"Low Discount",IF(tblProducts[[#This Row],[Discount]]&lt;=40%,"Medium Discount","High Discount")))</f>
        <v>Medium Discount</v>
      </c>
      <c r="H6" s="7">
        <v>5</v>
      </c>
      <c r="I6" s="3">
        <v>4.8</v>
      </c>
      <c r="J6" s="3" t="str">
        <f>IF(tblProducts[[#This Row],[Rating]]="","Missing",IF(tblProducts[[#This Row],[Rating]]&lt;3,"Poor",IF(tblProducts[[#This Row],[Rating]]&lt;=4,"Average",IF(tblProducts[[#This Row],[Rating]]&lt;4.5, "Unclassified","Excellent"))))</f>
        <v>Excellent</v>
      </c>
    </row>
    <row r="7" spans="1:10" x14ac:dyDescent="0.35">
      <c r="A7" t="s">
        <v>26</v>
      </c>
      <c r="B7" s="5">
        <v>2999</v>
      </c>
      <c r="C7" s="5">
        <v>3290</v>
      </c>
      <c r="D7" s="5" t="str">
        <f>IF(tblProducts[[#This Row],[Current Price]]="","Missing",IF(tblProducts[[#This Row],[Current Price]]&lt;Price_Q1,"Low Price",IF(tblProducts[[#This Row],[Current Price]]&lt;Price_Q3,"Medium Price","High Price")))</f>
        <v>High Price</v>
      </c>
      <c r="E7" s="5">
        <f>tblProducts[[#This Row],[Old Price]]-tblProducts[[#This Row],[Current Price]]</f>
        <v>291</v>
      </c>
      <c r="F7" s="6">
        <v>0.09</v>
      </c>
      <c r="G7" s="6" t="str">
        <f>IF(tblProducts[[#This Row],[Discount]]="","Missing",IF(tblProducts[[#This Row],[Discount]]&lt;20%,"Low Discount",IF(tblProducts[[#This Row],[Discount]]&lt;=40%,"Medium Discount","High Discount")))</f>
        <v>Low Discount</v>
      </c>
      <c r="H7" s="7">
        <v>15</v>
      </c>
      <c r="I7" s="3">
        <v>4</v>
      </c>
      <c r="J7" s="3" t="str">
        <f>IF(tblProducts[[#This Row],[Rating]]="","Missing",IF(tblProducts[[#This Row],[Rating]]&lt;3,"Poor",IF(tblProducts[[#This Row],[Rating]]&lt;=4,"Average",IF(tblProducts[[#This Row],[Rating]]&lt;4.5, "Unclassified","Excellent"))))</f>
        <v>Average</v>
      </c>
    </row>
    <row r="8" spans="1:10" x14ac:dyDescent="0.35">
      <c r="A8" t="s">
        <v>30</v>
      </c>
      <c r="B8" s="5">
        <v>2319</v>
      </c>
      <c r="C8" s="5">
        <v>3032</v>
      </c>
      <c r="D8" s="5" t="str">
        <f>IF(tblProducts[[#This Row],[Current Price]]="","Missing",IF(tblProducts[[#This Row],[Current Price]]&lt;Price_Q1,"Low Price",IF(tblProducts[[#This Row],[Current Price]]&lt;Price_Q3,"Medium Price","High Price")))</f>
        <v>High Price</v>
      </c>
      <c r="E8" s="5">
        <f>tblProducts[[#This Row],[Old Price]]-tblProducts[[#This Row],[Current Price]]</f>
        <v>713</v>
      </c>
      <c r="F8" s="6">
        <v>0.24</v>
      </c>
      <c r="G8" s="6" t="str">
        <f>IF(tblProducts[[#This Row],[Discount]]="","Missing",IF(tblProducts[[#This Row],[Discount]]&lt;20%,"Low Discount",IF(tblProducts[[#This Row],[Discount]]&lt;=40%,"Medium Discount","High Discount")))</f>
        <v>Medium Discount</v>
      </c>
      <c r="H8" s="7">
        <v>55</v>
      </c>
      <c r="I8" s="3">
        <v>4.5999999999999996</v>
      </c>
      <c r="J8" s="3" t="str">
        <f>IF(tblProducts[[#This Row],[Rating]]="","Missing",IF(tblProducts[[#This Row],[Rating]]&lt;3,"Poor",IF(tblProducts[[#This Row],[Rating]]&lt;=4,"Average",IF(tblProducts[[#This Row],[Rating]]&lt;4.5, "Unclassified","Excellent"))))</f>
        <v>Excellent</v>
      </c>
    </row>
    <row r="9" spans="1:10" x14ac:dyDescent="0.35">
      <c r="A9" t="s">
        <v>33</v>
      </c>
      <c r="B9" s="5">
        <v>988</v>
      </c>
      <c r="C9" s="5">
        <v>1580</v>
      </c>
      <c r="D9" s="5" t="str">
        <f>IF(tblProducts[[#This Row],[Current Price]]="","Missing",IF(tblProducts[[#This Row],[Current Price]]&lt;Price_Q1,"Low Price",IF(tblProducts[[#This Row],[Current Price]]&lt;Price_Q3,"Medium Price","High Price")))</f>
        <v>Medium Price</v>
      </c>
      <c r="E9" s="5">
        <f>tblProducts[[#This Row],[Old Price]]-tblProducts[[#This Row],[Current Price]]</f>
        <v>592</v>
      </c>
      <c r="F9" s="6">
        <v>0.37</v>
      </c>
      <c r="G9" s="6" t="str">
        <f>IF(tblProducts[[#This Row],[Discount]]="","Missing",IF(tblProducts[[#This Row],[Discount]]&lt;20%,"Low Discount",IF(tblProducts[[#This Row],[Discount]]&lt;=40%,"Medium Discount","High Discount")))</f>
        <v>Medium Discount</v>
      </c>
      <c r="H9" s="7">
        <v>2</v>
      </c>
      <c r="I9" s="3">
        <v>4</v>
      </c>
      <c r="J9" s="3" t="str">
        <f>IF(tblProducts[[#This Row],[Rating]]="","Missing",IF(tblProducts[[#This Row],[Rating]]&lt;3,"Poor",IF(tblProducts[[#This Row],[Rating]]&lt;=4,"Average",IF(tblProducts[[#This Row],[Rating]]&lt;4.5, "Unclassified","Excellent"))))</f>
        <v>Average</v>
      </c>
    </row>
    <row r="10" spans="1:10" x14ac:dyDescent="0.35">
      <c r="A10" t="s">
        <v>35</v>
      </c>
      <c r="B10" s="5">
        <v>1274</v>
      </c>
      <c r="C10" s="5">
        <v>2800</v>
      </c>
      <c r="D10" s="5" t="str">
        <f>IF(tblProducts[[#This Row],[Current Price]]="","Missing",IF(tblProducts[[#This Row],[Current Price]]&lt;Price_Q1,"Low Price",IF(tblProducts[[#This Row],[Current Price]]&lt;Price_Q3,"Medium Price","High Price")))</f>
        <v>Medium Price</v>
      </c>
      <c r="E10" s="5">
        <f>tblProducts[[#This Row],[Old Price]]-tblProducts[[#This Row],[Current Price]]</f>
        <v>1526</v>
      </c>
      <c r="F10" s="6">
        <v>0.55000000000000004</v>
      </c>
      <c r="G10" s="6" t="str">
        <f>IF(tblProducts[[#This Row],[Discount]]="","Missing",IF(tblProducts[[#This Row],[Discount]]&lt;20%,"Low Discount",IF(tblProducts[[#This Row],[Discount]]&lt;=40%,"Medium Discount","High Discount")))</f>
        <v>High Discount</v>
      </c>
      <c r="H10" s="7">
        <v>5</v>
      </c>
      <c r="I10" s="3">
        <v>4.8</v>
      </c>
      <c r="J10" s="3" t="str">
        <f>IF(tblProducts[[#This Row],[Rating]]="","Missing",IF(tblProducts[[#This Row],[Rating]]&lt;3,"Poor",IF(tblProducts[[#This Row],[Rating]]&lt;=4,"Average",IF(tblProducts[[#This Row],[Rating]]&lt;4.5, "Unclassified","Excellent"))))</f>
        <v>Excellent</v>
      </c>
    </row>
    <row r="11" spans="1:10" x14ac:dyDescent="0.35">
      <c r="A11" t="s">
        <v>38</v>
      </c>
      <c r="B11" s="5">
        <v>1600</v>
      </c>
      <c r="C11" s="5">
        <v>2929</v>
      </c>
      <c r="D11" s="5" t="str">
        <f>IF(tblProducts[[#This Row],[Current Price]]="","Missing",IF(tblProducts[[#This Row],[Current Price]]&lt;Price_Q1,"Low Price",IF(tblProducts[[#This Row],[Current Price]]&lt;Price_Q3,"Medium Price","High Price")))</f>
        <v>Medium Price</v>
      </c>
      <c r="E11" s="5">
        <f>tblProducts[[#This Row],[Old Price]]-tblProducts[[#This Row],[Current Price]]</f>
        <v>1329</v>
      </c>
      <c r="F11" s="6">
        <v>0.45</v>
      </c>
      <c r="G11" s="6" t="str">
        <f>IF(tblProducts[[#This Row],[Discount]]="","Missing",IF(tblProducts[[#This Row],[Discount]]&lt;20%,"Low Discount",IF(tblProducts[[#This Row],[Discount]]&lt;=40%,"Medium Discount","High Discount")))</f>
        <v>High Discount</v>
      </c>
      <c r="H11" s="7">
        <v>5</v>
      </c>
      <c r="I11" s="3">
        <v>3.8</v>
      </c>
      <c r="J11" s="3" t="str">
        <f>IF(tblProducts[[#This Row],[Rating]]="","Missing",IF(tblProducts[[#This Row],[Rating]]&lt;3,"Poor",IF(tblProducts[[#This Row],[Rating]]&lt;=4,"Average",IF(tblProducts[[#This Row],[Rating]]&lt;4.5, "Unclassified","Excellent"))))</f>
        <v>Average</v>
      </c>
    </row>
    <row r="12" spans="1:10" x14ac:dyDescent="0.35">
      <c r="A12" t="s">
        <v>42</v>
      </c>
      <c r="B12" s="5">
        <v>799</v>
      </c>
      <c r="C12" s="5">
        <v>999</v>
      </c>
      <c r="D12" s="5" t="str">
        <f>IF(tblProducts[[#This Row],[Current Price]]="","Missing",IF(tblProducts[[#This Row],[Current Price]]&lt;Price_Q1,"Low Price",IF(tblProducts[[#This Row],[Current Price]]&lt;Price_Q3,"Medium Price","High Price")))</f>
        <v>Medium Price</v>
      </c>
      <c r="E12" s="5">
        <f>tblProducts[[#This Row],[Old Price]]-tblProducts[[#This Row],[Current Price]]</f>
        <v>200</v>
      </c>
      <c r="F12" s="6">
        <v>0.2</v>
      </c>
      <c r="G12" s="6" t="str">
        <f>IF(tblProducts[[#This Row],[Discount]]="","Missing",IF(tblProducts[[#This Row],[Discount]]&lt;20%,"Low Discount",IF(tblProducts[[#This Row],[Discount]]&lt;=40%,"Medium Discount","High Discount")))</f>
        <v>Medium Discount</v>
      </c>
      <c r="H12" s="7">
        <v>12</v>
      </c>
      <c r="I12" s="3">
        <v>4.0999999999999996</v>
      </c>
      <c r="J12" s="3" t="str">
        <f>IF(tblProducts[[#This Row],[Rating]]="","Missing",IF(tblProducts[[#This Row],[Rating]]&lt;3,"Poor",IF(tblProducts[[#This Row],[Rating]]&lt;=4,"Average",IF(tblProducts[[#This Row],[Rating]]&lt;4.5, "Unclassified","Excellent"))))</f>
        <v>Unclassified</v>
      </c>
    </row>
    <row r="13" spans="1:10" x14ac:dyDescent="0.35">
      <c r="A13" t="s">
        <v>44</v>
      </c>
      <c r="B13" s="5">
        <v>990</v>
      </c>
      <c r="C13" s="5">
        <v>1500</v>
      </c>
      <c r="D13" s="5" t="str">
        <f>IF(tblProducts[[#This Row],[Current Price]]="","Missing",IF(tblProducts[[#This Row],[Current Price]]&lt;Price_Q1,"Low Price",IF(tblProducts[[#This Row],[Current Price]]&lt;Price_Q3,"Medium Price","High Price")))</f>
        <v>Medium Price</v>
      </c>
      <c r="E13" s="5">
        <f>tblProducts[[#This Row],[Old Price]]-tblProducts[[#This Row],[Current Price]]</f>
        <v>510</v>
      </c>
      <c r="F13" s="6">
        <v>0.34</v>
      </c>
      <c r="G13" s="6" t="str">
        <f>IF(tblProducts[[#This Row],[Discount]]="","Missing",IF(tblProducts[[#This Row],[Discount]]&lt;20%,"Low Discount",IF(tblProducts[[#This Row],[Discount]]&lt;=40%,"Medium Discount","High Discount")))</f>
        <v>Medium Discount</v>
      </c>
      <c r="H13" s="7">
        <v>39</v>
      </c>
      <c r="I13" s="3">
        <v>4.7</v>
      </c>
      <c r="J13" s="3" t="str">
        <f>IF(tblProducts[[#This Row],[Rating]]="","Missing",IF(tblProducts[[#This Row],[Rating]]&lt;3,"Poor",IF(tblProducts[[#This Row],[Rating]]&lt;=4,"Average",IF(tblProducts[[#This Row],[Rating]]&lt;4.5, "Unclassified","Excellent"))))</f>
        <v>Excellent</v>
      </c>
    </row>
    <row r="14" spans="1:10" x14ac:dyDescent="0.35">
      <c r="A14" t="s">
        <v>47</v>
      </c>
      <c r="B14" s="5">
        <v>552</v>
      </c>
      <c r="C14" s="5">
        <v>1035</v>
      </c>
      <c r="D14" s="5" t="str">
        <f>IF(tblProducts[[#This Row],[Current Price]]="","Missing",IF(tblProducts[[#This Row],[Current Price]]&lt;Price_Q1,"Low Price",IF(tblProducts[[#This Row],[Current Price]]&lt;Price_Q3,"Medium Price","High Price")))</f>
        <v>Medium Price</v>
      </c>
      <c r="E14" s="5">
        <f>tblProducts[[#This Row],[Old Price]]-tblProducts[[#This Row],[Current Price]]</f>
        <v>483</v>
      </c>
      <c r="F14" s="6">
        <v>0.47</v>
      </c>
      <c r="G14" s="6" t="str">
        <f>IF(tblProducts[[#This Row],[Discount]]="","Missing",IF(tblProducts[[#This Row],[Discount]]&lt;20%,"Low Discount",IF(tblProducts[[#This Row],[Discount]]&lt;=40%,"Medium Discount","High Discount")))</f>
        <v>High Discount</v>
      </c>
      <c r="H14" s="7">
        <v>12</v>
      </c>
      <c r="I14" s="3">
        <v>4.8</v>
      </c>
      <c r="J14" s="3" t="str">
        <f>IF(tblProducts[[#This Row],[Rating]]="","Missing",IF(tblProducts[[#This Row],[Rating]]&lt;3,"Poor",IF(tblProducts[[#This Row],[Rating]]&lt;=4,"Average",IF(tblProducts[[#This Row],[Rating]]&lt;4.5, "Unclassified","Excellent"))))</f>
        <v>Excellent</v>
      </c>
    </row>
    <row r="15" spans="1:10" x14ac:dyDescent="0.35">
      <c r="A15" t="s">
        <v>50</v>
      </c>
      <c r="B15" s="5">
        <v>501</v>
      </c>
      <c r="C15" s="5">
        <v>860</v>
      </c>
      <c r="D15" s="5" t="str">
        <f>IF(tblProducts[[#This Row],[Current Price]]="","Missing",IF(tblProducts[[#This Row],[Current Price]]&lt;Price_Q1,"Low Price",IF(tblProducts[[#This Row],[Current Price]]&lt;Price_Q3,"Medium Price","High Price")))</f>
        <v>Medium Price</v>
      </c>
      <c r="E15" s="5">
        <f>tblProducts[[#This Row],[Old Price]]-tblProducts[[#This Row],[Current Price]]</f>
        <v>359</v>
      </c>
      <c r="F15" s="6">
        <v>0.42</v>
      </c>
      <c r="G15" s="6" t="str">
        <f>IF(tblProducts[[#This Row],[Discount]]="","Missing",IF(tblProducts[[#This Row],[Discount]]&lt;20%,"Low Discount",IF(tblProducts[[#This Row],[Discount]]&lt;=40%,"Medium Discount","High Discount")))</f>
        <v>High Discount</v>
      </c>
      <c r="H15" s="7">
        <v>6</v>
      </c>
      <c r="I15" s="3">
        <v>4.5</v>
      </c>
      <c r="J15" s="3" t="str">
        <f>IF(tblProducts[[#This Row],[Rating]]="","Missing",IF(tblProducts[[#This Row],[Rating]]&lt;3,"Poor",IF(tblProducts[[#This Row],[Rating]]&lt;=4,"Average",IF(tblProducts[[#This Row],[Rating]]&lt;4.5, "Unclassified","Excellent"))))</f>
        <v>Excellent</v>
      </c>
    </row>
    <row r="16" spans="1:10" x14ac:dyDescent="0.35">
      <c r="A16" t="s">
        <v>53</v>
      </c>
      <c r="B16" s="5">
        <v>1680</v>
      </c>
      <c r="C16" s="5">
        <v>2499</v>
      </c>
      <c r="D16" s="5" t="str">
        <f>IF(tblProducts[[#This Row],[Current Price]]="","Missing",IF(tblProducts[[#This Row],[Current Price]]&lt;Price_Q1,"Low Price",IF(tblProducts[[#This Row],[Current Price]]&lt;Price_Q3,"Medium Price","High Price")))</f>
        <v>High Price</v>
      </c>
      <c r="E16" s="5">
        <f>tblProducts[[#This Row],[Old Price]]-tblProducts[[#This Row],[Current Price]]</f>
        <v>819</v>
      </c>
      <c r="F16" s="6">
        <v>0.33</v>
      </c>
      <c r="G16" s="6" t="str">
        <f>IF(tblProducts[[#This Row],[Discount]]="","Missing",IF(tblProducts[[#This Row],[Discount]]&lt;20%,"Low Discount",IF(tblProducts[[#This Row],[Discount]]&lt;=40%,"Medium Discount","High Discount")))</f>
        <v>Medium Discount</v>
      </c>
      <c r="H16" s="7">
        <v>9</v>
      </c>
      <c r="I16" s="3">
        <v>4.2</v>
      </c>
      <c r="J16" s="3" t="str">
        <f>IF(tblProducts[[#This Row],[Rating]]="","Missing",IF(tblProducts[[#This Row],[Rating]]&lt;3,"Poor",IF(tblProducts[[#This Row],[Rating]]&lt;=4,"Average",IF(tblProducts[[#This Row],[Rating]]&lt;4.5, "Unclassified","Excellent"))))</f>
        <v>Unclassified</v>
      </c>
    </row>
    <row r="17" spans="1:10" x14ac:dyDescent="0.35">
      <c r="A17" t="s">
        <v>362</v>
      </c>
      <c r="B17" s="5">
        <v>332</v>
      </c>
      <c r="C17" s="5">
        <v>684</v>
      </c>
      <c r="D17" s="5" t="str">
        <f>IF(tblProducts[[#This Row],[Current Price]]="","Missing",IF(tblProducts[[#This Row],[Current Price]]&lt;Price_Q1,"Low Price",IF(tblProducts[[#This Row],[Current Price]]&lt;Price_Q3,"Medium Price","High Price")))</f>
        <v>Low Price</v>
      </c>
      <c r="E17" s="5">
        <f>tblProducts[[#This Row],[Old Price]]-tblProducts[[#This Row],[Current Price]]</f>
        <v>352</v>
      </c>
      <c r="F17" s="6">
        <v>0.51</v>
      </c>
      <c r="G17" s="6" t="str">
        <f>IF(tblProducts[[#This Row],[Discount]]="","Missing",IF(tblProducts[[#This Row],[Discount]]&lt;20%,"Low Discount",IF(tblProducts[[#This Row],[Discount]]&lt;=40%,"Medium Discount","High Discount")))</f>
        <v>High Discount</v>
      </c>
      <c r="H17" s="7">
        <v>2</v>
      </c>
      <c r="I17" s="3">
        <v>5</v>
      </c>
      <c r="J17" s="3" t="str">
        <f>IF(tblProducts[[#This Row],[Rating]]="","Missing",IF(tblProducts[[#This Row],[Rating]]&lt;3,"Poor",IF(tblProducts[[#This Row],[Rating]]&lt;=4,"Average",IF(tblProducts[[#This Row],[Rating]]&lt;4.5, "Unclassified","Excellent"))))</f>
        <v>Excellent</v>
      </c>
    </row>
    <row r="18" spans="1:10" x14ac:dyDescent="0.35">
      <c r="A18" t="s">
        <v>363</v>
      </c>
      <c r="B18" s="5">
        <v>195</v>
      </c>
      <c r="C18" s="5">
        <v>360</v>
      </c>
      <c r="D18" s="5" t="str">
        <f>IF(tblProducts[[#This Row],[Current Price]]="","Missing",IF(tblProducts[[#This Row],[Current Price]]&lt;Price_Q1,"Low Price",IF(tblProducts[[#This Row],[Current Price]]&lt;Price_Q3,"Medium Price","High Price")))</f>
        <v>Low Price</v>
      </c>
      <c r="E18" s="5">
        <f>tblProducts[[#This Row],[Old Price]]-tblProducts[[#This Row],[Current Price]]</f>
        <v>165</v>
      </c>
      <c r="F18" s="6">
        <v>0.46</v>
      </c>
      <c r="G18" s="6" t="str">
        <f>IF(tblProducts[[#This Row],[Discount]]="","Missing",IF(tblProducts[[#This Row],[Discount]]&lt;20%,"Low Discount",IF(tblProducts[[#This Row],[Discount]]&lt;=40%,"Medium Discount","High Discount")))</f>
        <v>High Discount</v>
      </c>
      <c r="H18" s="7">
        <v>2</v>
      </c>
      <c r="I18" s="3">
        <v>5</v>
      </c>
      <c r="J18" s="3" t="str">
        <f>IF(tblProducts[[#This Row],[Rating]]="","Missing",IF(tblProducts[[#This Row],[Rating]]&lt;3,"Poor",IF(tblProducts[[#This Row],[Rating]]&lt;=4,"Average",IF(tblProducts[[#This Row],[Rating]]&lt;4.5, "Unclassified","Excellent"))))</f>
        <v>Excellent</v>
      </c>
    </row>
    <row r="19" spans="1:10" x14ac:dyDescent="0.35">
      <c r="A19" t="s">
        <v>63</v>
      </c>
      <c r="B19" s="5">
        <v>2025</v>
      </c>
      <c r="C19" s="5">
        <v>3971</v>
      </c>
      <c r="D19" s="5" t="str">
        <f>IF(tblProducts[[#This Row],[Current Price]]="","Missing",IF(tblProducts[[#This Row],[Current Price]]&lt;Price_Q1,"Low Price",IF(tblProducts[[#This Row],[Current Price]]&lt;Price_Q3,"Medium Price","High Price")))</f>
        <v>High Price</v>
      </c>
      <c r="E19" s="5">
        <f>tblProducts[[#This Row],[Old Price]]-tblProducts[[#This Row],[Current Price]]</f>
        <v>1946</v>
      </c>
      <c r="F19" s="6">
        <v>0.49</v>
      </c>
      <c r="G19" s="6" t="str">
        <f>IF(tblProducts[[#This Row],[Discount]]="","Missing",IF(tblProducts[[#This Row],[Discount]]&lt;20%,"Low Discount",IF(tblProducts[[#This Row],[Discount]]&lt;=40%,"Medium Discount","High Discount")))</f>
        <v>High Discount</v>
      </c>
      <c r="H19" s="7">
        <v>3</v>
      </c>
      <c r="I19" s="3">
        <v>5</v>
      </c>
      <c r="J19" s="3" t="str">
        <f>IF(tblProducts[[#This Row],[Rating]]="","Missing",IF(tblProducts[[#This Row],[Rating]]&lt;3,"Poor",IF(tblProducts[[#This Row],[Rating]]&lt;=4,"Average",IF(tblProducts[[#This Row],[Rating]]&lt;4.5, "Unclassified","Excellent"))))</f>
        <v>Excellent</v>
      </c>
    </row>
    <row r="20" spans="1:10" x14ac:dyDescent="0.35">
      <c r="A20" t="s">
        <v>66</v>
      </c>
      <c r="B20" s="5">
        <v>2999</v>
      </c>
      <c r="C20" s="5">
        <v>3699</v>
      </c>
      <c r="D20" s="5" t="str">
        <f>IF(tblProducts[[#This Row],[Current Price]]="","Missing",IF(tblProducts[[#This Row],[Current Price]]&lt;Price_Q1,"Low Price",IF(tblProducts[[#This Row],[Current Price]]&lt;Price_Q3,"Medium Price","High Price")))</f>
        <v>High Price</v>
      </c>
      <c r="E20" s="5">
        <f>tblProducts[[#This Row],[Old Price]]-tblProducts[[#This Row],[Current Price]]</f>
        <v>700</v>
      </c>
      <c r="F20" s="6">
        <v>0.19</v>
      </c>
      <c r="G20" s="6" t="str">
        <f>IF(tblProducts[[#This Row],[Discount]]="","Missing",IF(tblProducts[[#This Row],[Discount]]&lt;20%,"Low Discount",IF(tblProducts[[#This Row],[Discount]]&lt;=40%,"Medium Discount","High Discount")))</f>
        <v>Low Discount</v>
      </c>
      <c r="H20" s="7">
        <v>5</v>
      </c>
      <c r="I20" s="3">
        <v>4.5999999999999996</v>
      </c>
      <c r="J20" s="3" t="str">
        <f>IF(tblProducts[[#This Row],[Rating]]="","Missing",IF(tblProducts[[#This Row],[Rating]]&lt;3,"Poor",IF(tblProducts[[#This Row],[Rating]]&lt;=4,"Average",IF(tblProducts[[#This Row],[Rating]]&lt;4.5, "Unclassified","Excellent"))))</f>
        <v>Excellent</v>
      </c>
    </row>
    <row r="21" spans="1:10" x14ac:dyDescent="0.35">
      <c r="A21" t="s">
        <v>68</v>
      </c>
      <c r="B21" s="5">
        <v>998</v>
      </c>
      <c r="C21" s="5">
        <v>1966</v>
      </c>
      <c r="D21" s="5" t="str">
        <f>IF(tblProducts[[#This Row],[Current Price]]="","Missing",IF(tblProducts[[#This Row],[Current Price]]&lt;Price_Q1,"Low Price",IF(tblProducts[[#This Row],[Current Price]]&lt;Price_Q3,"Medium Price","High Price")))</f>
        <v>Medium Price</v>
      </c>
      <c r="E21" s="5">
        <f>tblProducts[[#This Row],[Old Price]]-tblProducts[[#This Row],[Current Price]]</f>
        <v>968</v>
      </c>
      <c r="F21" s="6">
        <v>0.49</v>
      </c>
      <c r="G21" s="6" t="str">
        <f>IF(tblProducts[[#This Row],[Discount]]="","Missing",IF(tblProducts[[#This Row],[Discount]]&lt;20%,"Low Discount",IF(tblProducts[[#This Row],[Discount]]&lt;=40%,"Medium Discount","High Discount")))</f>
        <v>High Discount</v>
      </c>
      <c r="H21" s="7">
        <v>44</v>
      </c>
      <c r="I21" s="3">
        <v>4.5999999999999996</v>
      </c>
      <c r="J21" s="3" t="str">
        <f>IF(tblProducts[[#This Row],[Rating]]="","Missing",IF(tblProducts[[#This Row],[Rating]]&lt;3,"Poor",IF(tblProducts[[#This Row],[Rating]]&lt;=4,"Average",IF(tblProducts[[#This Row],[Rating]]&lt;4.5, "Unclassified","Excellent"))))</f>
        <v>Excellent</v>
      </c>
    </row>
    <row r="22" spans="1:10" x14ac:dyDescent="0.35">
      <c r="A22" t="s">
        <v>71</v>
      </c>
      <c r="B22" s="5">
        <v>38</v>
      </c>
      <c r="C22" s="5">
        <v>80</v>
      </c>
      <c r="D22" s="5" t="str">
        <f>IF(tblProducts[[#This Row],[Current Price]]="","Missing",IF(tblProducts[[#This Row],[Current Price]]&lt;Price_Q1,"Low Price",IF(tblProducts[[#This Row],[Current Price]]&lt;Price_Q3,"Medium Price","High Price")))</f>
        <v>Low Price</v>
      </c>
      <c r="E22" s="5">
        <f>tblProducts[[#This Row],[Old Price]]-tblProducts[[#This Row],[Current Price]]</f>
        <v>42</v>
      </c>
      <c r="F22" s="6">
        <v>0.53</v>
      </c>
      <c r="G22" s="6" t="str">
        <f>IF(tblProducts[[#This Row],[Discount]]="","Missing",IF(tblProducts[[#This Row],[Discount]]&lt;20%,"Low Discount",IF(tblProducts[[#This Row],[Discount]]&lt;=40%,"Medium Discount","High Discount")))</f>
        <v>High Discount</v>
      </c>
      <c r="H22" s="7">
        <v>13</v>
      </c>
      <c r="I22" s="3">
        <v>3.3</v>
      </c>
      <c r="J22" s="3" t="str">
        <f>IF(tblProducts[[#This Row],[Rating]]="","Missing",IF(tblProducts[[#This Row],[Rating]]&lt;3,"Poor",IF(tblProducts[[#This Row],[Rating]]&lt;=4,"Average",IF(tblProducts[[#This Row],[Rating]]&lt;4.5, "Unclassified","Excellent"))))</f>
        <v>Average</v>
      </c>
    </row>
    <row r="23" spans="1:10" x14ac:dyDescent="0.35">
      <c r="A23" t="s">
        <v>75</v>
      </c>
      <c r="B23" s="5">
        <v>1860</v>
      </c>
      <c r="C23" s="5">
        <v>3220</v>
      </c>
      <c r="D23" s="5" t="str">
        <f>IF(tblProducts[[#This Row],[Current Price]]="","Missing",IF(tblProducts[[#This Row],[Current Price]]&lt;Price_Q1,"Low Price",IF(tblProducts[[#This Row],[Current Price]]&lt;Price_Q3,"Medium Price","High Price")))</f>
        <v>High Price</v>
      </c>
      <c r="E23" s="5">
        <f>tblProducts[[#This Row],[Old Price]]-tblProducts[[#This Row],[Current Price]]</f>
        <v>1360</v>
      </c>
      <c r="F23" s="6">
        <v>0.42</v>
      </c>
      <c r="G23" s="6" t="str">
        <f>IF(tblProducts[[#This Row],[Discount]]="","Missing",IF(tblProducts[[#This Row],[Discount]]&lt;20%,"Low Discount",IF(tblProducts[[#This Row],[Discount]]&lt;=40%,"Medium Discount","High Discount")))</f>
        <v>High Discount</v>
      </c>
      <c r="H23" s="7" t="s">
        <v>341</v>
      </c>
      <c r="I23" s="3"/>
      <c r="J23" s="3" t="str">
        <f>IF(tblProducts[[#This Row],[Rating]]="","Missing",IF(tblProducts[[#This Row],[Rating]]&lt;3,"Poor",IF(tblProducts[[#This Row],[Rating]]&lt;=4,"Average",IF(tblProducts[[#This Row],[Rating]]&lt;4.5, "Unclassified","Excellent"))))</f>
        <v>Missing</v>
      </c>
    </row>
    <row r="24" spans="1:10" x14ac:dyDescent="0.35">
      <c r="A24" t="s">
        <v>78</v>
      </c>
      <c r="B24" s="5">
        <v>880</v>
      </c>
      <c r="C24" s="5">
        <v>1350</v>
      </c>
      <c r="D24" s="5" t="str">
        <f>IF(tblProducts[[#This Row],[Current Price]]="","Missing",IF(tblProducts[[#This Row],[Current Price]]&lt;Price_Q1,"Low Price",IF(tblProducts[[#This Row],[Current Price]]&lt;Price_Q3,"Medium Price","High Price")))</f>
        <v>Medium Price</v>
      </c>
      <c r="E24" s="5">
        <f>tblProducts[[#This Row],[Old Price]]-tblProducts[[#This Row],[Current Price]]</f>
        <v>470</v>
      </c>
      <c r="F24" s="6">
        <v>0.35</v>
      </c>
      <c r="G24" s="6" t="str">
        <f>IF(tblProducts[[#This Row],[Discount]]="","Missing",IF(tblProducts[[#This Row],[Discount]]&lt;20%,"Low Discount",IF(tblProducts[[#This Row],[Discount]]&lt;=40%,"Medium Discount","High Discount")))</f>
        <v>Medium Discount</v>
      </c>
      <c r="H24" s="7">
        <v>6</v>
      </c>
      <c r="I24" s="3">
        <v>4</v>
      </c>
      <c r="J24" s="3" t="str">
        <f>IF(tblProducts[[#This Row],[Rating]]="","Missing",IF(tblProducts[[#This Row],[Rating]]&lt;3,"Poor",IF(tblProducts[[#This Row],[Rating]]&lt;=4,"Average",IF(tblProducts[[#This Row],[Rating]]&lt;4.5, "Unclassified","Excellent"))))</f>
        <v>Average</v>
      </c>
    </row>
    <row r="25" spans="1:10" x14ac:dyDescent="0.35">
      <c r="A25" t="s">
        <v>81</v>
      </c>
      <c r="B25" s="5">
        <v>1650</v>
      </c>
      <c r="C25" s="5">
        <v>2150</v>
      </c>
      <c r="D25" s="5" t="str">
        <f>IF(tblProducts[[#This Row],[Current Price]]="","Missing",IF(tblProducts[[#This Row],[Current Price]]&lt;Price_Q1,"Low Price",IF(tblProducts[[#This Row],[Current Price]]&lt;Price_Q3,"Medium Price","High Price")))</f>
        <v>Medium Price</v>
      </c>
      <c r="E25" s="5">
        <f>tblProducts[[#This Row],[Old Price]]-tblProducts[[#This Row],[Current Price]]</f>
        <v>500</v>
      </c>
      <c r="F25" s="6">
        <v>0.23</v>
      </c>
      <c r="G25" s="6" t="str">
        <f>IF(tblProducts[[#This Row],[Discount]]="","Missing",IF(tblProducts[[#This Row],[Discount]]&lt;20%,"Low Discount",IF(tblProducts[[#This Row],[Discount]]&lt;=40%,"Medium Discount","High Discount")))</f>
        <v>Medium Discount</v>
      </c>
      <c r="H25" s="7">
        <v>14</v>
      </c>
      <c r="I25" s="3">
        <v>4.4000000000000004</v>
      </c>
      <c r="J25" s="3" t="str">
        <f>IF(tblProducts[[#This Row],[Rating]]="","Missing",IF(tblProducts[[#This Row],[Rating]]&lt;3,"Poor",IF(tblProducts[[#This Row],[Rating]]&lt;=4,"Average",IF(tblProducts[[#This Row],[Rating]]&lt;4.5, "Unclassified","Excellent"))))</f>
        <v>Unclassified</v>
      </c>
    </row>
    <row r="26" spans="1:10" x14ac:dyDescent="0.35">
      <c r="A26" t="s">
        <v>85</v>
      </c>
      <c r="B26" s="5">
        <v>2048</v>
      </c>
      <c r="C26" s="5">
        <v>4500</v>
      </c>
      <c r="D26" s="5" t="str">
        <f>IF(tblProducts[[#This Row],[Current Price]]="","Missing",IF(tblProducts[[#This Row],[Current Price]]&lt;Price_Q1,"Low Price",IF(tblProducts[[#This Row],[Current Price]]&lt;Price_Q3,"Medium Price","High Price")))</f>
        <v>High Price</v>
      </c>
      <c r="E26" s="5">
        <f>tblProducts[[#This Row],[Old Price]]-tblProducts[[#This Row],[Current Price]]</f>
        <v>2452</v>
      </c>
      <c r="F26" s="6">
        <v>0.54</v>
      </c>
      <c r="G26" s="6" t="str">
        <f>IF(tblProducts[[#This Row],[Discount]]="","Missing",IF(tblProducts[[#This Row],[Discount]]&lt;20%,"Low Discount",IF(tblProducts[[#This Row],[Discount]]&lt;=40%,"Medium Discount","High Discount")))</f>
        <v>High Discount</v>
      </c>
      <c r="H26" s="7">
        <v>7</v>
      </c>
      <c r="I26" s="3">
        <v>4.3</v>
      </c>
      <c r="J26" s="3" t="str">
        <f>IF(tblProducts[[#This Row],[Rating]]="","Missing",IF(tblProducts[[#This Row],[Rating]]&lt;3,"Poor",IF(tblProducts[[#This Row],[Rating]]&lt;=4,"Average",IF(tblProducts[[#This Row],[Rating]]&lt;4.5, "Unclassified","Excellent"))))</f>
        <v>Unclassified</v>
      </c>
    </row>
    <row r="27" spans="1:10" x14ac:dyDescent="0.35">
      <c r="A27" t="s">
        <v>89</v>
      </c>
      <c r="B27" s="5">
        <v>420</v>
      </c>
      <c r="C27" s="5">
        <v>647</v>
      </c>
      <c r="D27" s="5" t="str">
        <f>IF(tblProducts[[#This Row],[Current Price]]="","Missing",IF(tblProducts[[#This Row],[Current Price]]&lt;Price_Q1,"Low Price",IF(tblProducts[[#This Row],[Current Price]]&lt;Price_Q3,"Medium Price","High Price")))</f>
        <v>Low Price</v>
      </c>
      <c r="E27" s="5">
        <f>tblProducts[[#This Row],[Old Price]]-tblProducts[[#This Row],[Current Price]]</f>
        <v>227</v>
      </c>
      <c r="F27" s="6">
        <v>0.35</v>
      </c>
      <c r="G27" s="6" t="str">
        <f>IF(tblProducts[[#This Row],[Discount]]="","Missing",IF(tblProducts[[#This Row],[Discount]]&lt;20%,"Low Discount",IF(tblProducts[[#This Row],[Discount]]&lt;=40%,"Medium Discount","High Discount")))</f>
        <v>Medium Discount</v>
      </c>
      <c r="H27" s="7">
        <v>49</v>
      </c>
      <c r="I27" s="3">
        <v>4.5999999999999996</v>
      </c>
      <c r="J27" s="3" t="str">
        <f>IF(tblProducts[[#This Row],[Rating]]="","Missing",IF(tblProducts[[#This Row],[Rating]]&lt;3,"Poor",IF(tblProducts[[#This Row],[Rating]]&lt;=4,"Average",IF(tblProducts[[#This Row],[Rating]]&lt;4.5, "Unclassified","Excellent"))))</f>
        <v>Excellent</v>
      </c>
    </row>
    <row r="28" spans="1:10" x14ac:dyDescent="0.35">
      <c r="A28" t="s">
        <v>92</v>
      </c>
      <c r="B28" s="5">
        <v>2880</v>
      </c>
      <c r="C28" s="5">
        <v>3520</v>
      </c>
      <c r="D28" s="5" t="str">
        <f>IF(tblProducts[[#This Row],[Current Price]]="","Missing",IF(tblProducts[[#This Row],[Current Price]]&lt;Price_Q1,"Low Price",IF(tblProducts[[#This Row],[Current Price]]&lt;Price_Q3,"Medium Price","High Price")))</f>
        <v>High Price</v>
      </c>
      <c r="E28" s="5">
        <f>tblProducts[[#This Row],[Old Price]]-tblProducts[[#This Row],[Current Price]]</f>
        <v>640</v>
      </c>
      <c r="F28" s="6">
        <v>0.18</v>
      </c>
      <c r="G28" s="6" t="str">
        <f>IF(tblProducts[[#This Row],[Discount]]="","Missing",IF(tblProducts[[#This Row],[Discount]]&lt;20%,"Low Discount",IF(tblProducts[[#This Row],[Discount]]&lt;=40%,"Medium Discount","High Discount")))</f>
        <v>Low Discount</v>
      </c>
      <c r="H28" s="7">
        <v>12</v>
      </c>
      <c r="I28" s="3">
        <v>3.8</v>
      </c>
      <c r="J28" s="3" t="str">
        <f>IF(tblProducts[[#This Row],[Rating]]="","Missing",IF(tblProducts[[#This Row],[Rating]]&lt;3,"Poor",IF(tblProducts[[#This Row],[Rating]]&lt;=4,"Average",IF(tblProducts[[#This Row],[Rating]]&lt;4.5, "Unclassified","Excellent"))))</f>
        <v>Average</v>
      </c>
    </row>
    <row r="29" spans="1:10" x14ac:dyDescent="0.35">
      <c r="A29" t="s">
        <v>95</v>
      </c>
      <c r="B29" s="5">
        <v>1350</v>
      </c>
      <c r="C29" s="5">
        <v>1990</v>
      </c>
      <c r="D29" s="5" t="str">
        <f>IF(tblProducts[[#This Row],[Current Price]]="","Missing",IF(tblProducts[[#This Row],[Current Price]]&lt;Price_Q1,"Low Price",IF(tblProducts[[#This Row],[Current Price]]&lt;Price_Q3,"Medium Price","High Price")))</f>
        <v>Medium Price</v>
      </c>
      <c r="E29" s="5">
        <f>tblProducts[[#This Row],[Old Price]]-tblProducts[[#This Row],[Current Price]]</f>
        <v>640</v>
      </c>
      <c r="F29" s="6">
        <v>0.32</v>
      </c>
      <c r="G29" s="6" t="str">
        <f>IF(tblProducts[[#This Row],[Discount]]="","Missing",IF(tblProducts[[#This Row],[Discount]]&lt;20%,"Low Discount",IF(tblProducts[[#This Row],[Discount]]&lt;=40%,"Medium Discount","High Discount")))</f>
        <v>Medium Discount</v>
      </c>
      <c r="H29" s="7">
        <v>13</v>
      </c>
      <c r="I29" s="3">
        <v>3.8</v>
      </c>
      <c r="J29" s="3" t="str">
        <f>IF(tblProducts[[#This Row],[Rating]]="","Missing",IF(tblProducts[[#This Row],[Rating]]&lt;3,"Poor",IF(tblProducts[[#This Row],[Rating]]&lt;=4,"Average",IF(tblProducts[[#This Row],[Rating]]&lt;4.5, "Unclassified","Excellent"))))</f>
        <v>Average</v>
      </c>
    </row>
    <row r="30" spans="1:10" x14ac:dyDescent="0.35">
      <c r="A30" t="s">
        <v>97</v>
      </c>
      <c r="B30" s="5">
        <v>1758</v>
      </c>
      <c r="C30" s="5">
        <v>2499</v>
      </c>
      <c r="D30" s="5" t="str">
        <f>IF(tblProducts[[#This Row],[Current Price]]="","Missing",IF(tblProducts[[#This Row],[Current Price]]&lt;Price_Q1,"Low Price",IF(tblProducts[[#This Row],[Current Price]]&lt;Price_Q3,"Medium Price","High Price")))</f>
        <v>High Price</v>
      </c>
      <c r="E30" s="5">
        <f>tblProducts[[#This Row],[Old Price]]-tblProducts[[#This Row],[Current Price]]</f>
        <v>741</v>
      </c>
      <c r="F30" s="6">
        <v>0.3</v>
      </c>
      <c r="G30" s="6" t="str">
        <f>IF(tblProducts[[#This Row],[Discount]]="","Missing",IF(tblProducts[[#This Row],[Discount]]&lt;20%,"Low Discount",IF(tblProducts[[#This Row],[Discount]]&lt;=40%,"Medium Discount","High Discount")))</f>
        <v>Medium Discount</v>
      </c>
      <c r="H30" s="7">
        <v>20</v>
      </c>
      <c r="I30" s="3">
        <v>4.0999999999999996</v>
      </c>
      <c r="J30" s="3" t="str">
        <f>IF(tblProducts[[#This Row],[Rating]]="","Missing",IF(tblProducts[[#This Row],[Rating]]&lt;3,"Poor",IF(tblProducts[[#This Row],[Rating]]&lt;=4,"Average",IF(tblProducts[[#This Row],[Rating]]&lt;4.5, "Unclassified","Excellent"))))</f>
        <v>Unclassified</v>
      </c>
    </row>
    <row r="31" spans="1:10" x14ac:dyDescent="0.35">
      <c r="A31" t="s">
        <v>99</v>
      </c>
      <c r="B31" s="5">
        <v>2200</v>
      </c>
      <c r="C31" s="5">
        <v>4080</v>
      </c>
      <c r="D31" s="5" t="str">
        <f>IF(tblProducts[[#This Row],[Current Price]]="","Missing",IF(tblProducts[[#This Row],[Current Price]]&lt;Price_Q1,"Low Price",IF(tblProducts[[#This Row],[Current Price]]&lt;Price_Q3,"Medium Price","High Price")))</f>
        <v>High Price</v>
      </c>
      <c r="E31" s="5">
        <f>tblProducts[[#This Row],[Old Price]]-tblProducts[[#This Row],[Current Price]]</f>
        <v>1880</v>
      </c>
      <c r="F31" s="6">
        <v>0.46</v>
      </c>
      <c r="G31" s="6" t="str">
        <f>IF(tblProducts[[#This Row],[Discount]]="","Missing",IF(tblProducts[[#This Row],[Discount]]&lt;20%,"Low Discount",IF(tblProducts[[#This Row],[Discount]]&lt;=40%,"Medium Discount","High Discount")))</f>
        <v>High Discount</v>
      </c>
      <c r="H31" s="7" t="s">
        <v>341</v>
      </c>
      <c r="I31" s="3"/>
      <c r="J31" s="3" t="str">
        <f>IF(tblProducts[[#This Row],[Rating]]="","Missing",IF(tblProducts[[#This Row],[Rating]]&lt;3,"Poor",IF(tblProducts[[#This Row],[Rating]]&lt;=4,"Average",IF(tblProducts[[#This Row],[Rating]]&lt;4.5, "Unclassified","Excellent"))))</f>
        <v>Missing</v>
      </c>
    </row>
    <row r="32" spans="1:10" x14ac:dyDescent="0.35">
      <c r="A32" t="s">
        <v>102</v>
      </c>
      <c r="B32" s="5">
        <v>185</v>
      </c>
      <c r="C32" s="5">
        <v>382</v>
      </c>
      <c r="D32" s="5" t="str">
        <f>IF(tblProducts[[#This Row],[Current Price]]="","Missing",IF(tblProducts[[#This Row],[Current Price]]&lt;Price_Q1,"Low Price",IF(tblProducts[[#This Row],[Current Price]]&lt;Price_Q3,"Medium Price","High Price")))</f>
        <v>Low Price</v>
      </c>
      <c r="E32" s="5">
        <f>tblProducts[[#This Row],[Old Price]]-tblProducts[[#This Row],[Current Price]]</f>
        <v>197</v>
      </c>
      <c r="F32" s="6">
        <v>0.52</v>
      </c>
      <c r="G32" s="6" t="str">
        <f>IF(tblProducts[[#This Row],[Discount]]="","Missing",IF(tblProducts[[#This Row],[Discount]]&lt;20%,"Low Discount",IF(tblProducts[[#This Row],[Discount]]&lt;=40%,"Medium Discount","High Discount")))</f>
        <v>High Discount</v>
      </c>
      <c r="H32" s="7">
        <v>9</v>
      </c>
      <c r="I32" s="3">
        <v>4.3</v>
      </c>
      <c r="J32" s="3" t="str">
        <f>IF(tblProducts[[#This Row],[Rating]]="","Missing",IF(tblProducts[[#This Row],[Rating]]&lt;3,"Poor",IF(tblProducts[[#This Row],[Rating]]&lt;=4,"Average",IF(tblProducts[[#This Row],[Rating]]&lt;4.5, "Unclassified","Excellent"))))</f>
        <v>Unclassified</v>
      </c>
    </row>
    <row r="33" spans="1:10" x14ac:dyDescent="0.35">
      <c r="A33" t="s">
        <v>105</v>
      </c>
      <c r="B33" s="5">
        <v>980</v>
      </c>
      <c r="C33" s="5">
        <v>1490</v>
      </c>
      <c r="D33" s="5" t="str">
        <f>IF(tblProducts[[#This Row],[Current Price]]="","Missing",IF(tblProducts[[#This Row],[Current Price]]&lt;Price_Q1,"Low Price",IF(tblProducts[[#This Row],[Current Price]]&lt;Price_Q3,"Medium Price","High Price")))</f>
        <v>Medium Price</v>
      </c>
      <c r="E33" s="5">
        <f>tblProducts[[#This Row],[Old Price]]-tblProducts[[#This Row],[Current Price]]</f>
        <v>510</v>
      </c>
      <c r="F33" s="6">
        <v>0.34</v>
      </c>
      <c r="G33" s="6" t="str">
        <f>IF(tblProducts[[#This Row],[Discount]]="","Missing",IF(tblProducts[[#This Row],[Discount]]&lt;20%,"Low Discount",IF(tblProducts[[#This Row],[Discount]]&lt;=40%,"Medium Discount","High Discount")))</f>
        <v>Medium Discount</v>
      </c>
      <c r="H33" s="7">
        <v>12</v>
      </c>
      <c r="I33" s="3">
        <v>4.7</v>
      </c>
      <c r="J33" s="3" t="str">
        <f>IF(tblProducts[[#This Row],[Rating]]="","Missing",IF(tblProducts[[#This Row],[Rating]]&lt;3,"Poor",IF(tblProducts[[#This Row],[Rating]]&lt;=4,"Average",IF(tblProducts[[#This Row],[Rating]]&lt;4.5, "Unclassified","Excellent"))))</f>
        <v>Excellent</v>
      </c>
    </row>
    <row r="34" spans="1:10" x14ac:dyDescent="0.35">
      <c r="A34" t="s">
        <v>364</v>
      </c>
      <c r="B34" s="5">
        <v>1820</v>
      </c>
      <c r="C34" s="5">
        <v>3490</v>
      </c>
      <c r="D34" s="5" t="str">
        <f>IF(tblProducts[[#This Row],[Current Price]]="","Missing",IF(tblProducts[[#This Row],[Current Price]]&lt;Price_Q1,"Low Price",IF(tblProducts[[#This Row],[Current Price]]&lt;Price_Q3,"Medium Price","High Price")))</f>
        <v>High Price</v>
      </c>
      <c r="E34" s="5">
        <f>tblProducts[[#This Row],[Old Price]]-tblProducts[[#This Row],[Current Price]]</f>
        <v>1670</v>
      </c>
      <c r="F34" s="6">
        <v>0.48</v>
      </c>
      <c r="G34" s="6" t="str">
        <f>IF(tblProducts[[#This Row],[Discount]]="","Missing",IF(tblProducts[[#This Row],[Discount]]&lt;20%,"Low Discount",IF(tblProducts[[#This Row],[Discount]]&lt;=40%,"Medium Discount","High Discount")))</f>
        <v>High Discount</v>
      </c>
      <c r="H34" s="7">
        <v>9</v>
      </c>
      <c r="I34" s="3">
        <v>4.3</v>
      </c>
      <c r="J34" s="3" t="str">
        <f>IF(tblProducts[[#This Row],[Rating]]="","Missing",IF(tblProducts[[#This Row],[Rating]]&lt;3,"Poor",IF(tblProducts[[#This Row],[Rating]]&lt;=4,"Average",IF(tblProducts[[#This Row],[Rating]]&lt;4.5, "Unclassified","Excellent"))))</f>
        <v>Unclassified</v>
      </c>
    </row>
    <row r="35" spans="1:10" x14ac:dyDescent="0.35">
      <c r="A35" t="s">
        <v>111</v>
      </c>
      <c r="B35" s="5">
        <v>1940</v>
      </c>
      <c r="C35" s="5">
        <v>2650</v>
      </c>
      <c r="D35" s="5" t="str">
        <f>IF(tblProducts[[#This Row],[Current Price]]="","Missing",IF(tblProducts[[#This Row],[Current Price]]&lt;Price_Q1,"Low Price",IF(tblProducts[[#This Row],[Current Price]]&lt;Price_Q3,"Medium Price","High Price")))</f>
        <v>High Price</v>
      </c>
      <c r="E35" s="5">
        <f>tblProducts[[#This Row],[Old Price]]-tblProducts[[#This Row],[Current Price]]</f>
        <v>710</v>
      </c>
      <c r="F35" s="6">
        <v>0.27</v>
      </c>
      <c r="G35" s="6" t="str">
        <f>IF(tblProducts[[#This Row],[Discount]]="","Missing",IF(tblProducts[[#This Row],[Discount]]&lt;20%,"Low Discount",IF(tblProducts[[#This Row],[Discount]]&lt;=40%,"Medium Discount","High Discount")))</f>
        <v>Medium Discount</v>
      </c>
      <c r="H35" s="7">
        <v>20</v>
      </c>
      <c r="I35" s="3">
        <v>4.7</v>
      </c>
      <c r="J35" s="3" t="str">
        <f>IF(tblProducts[[#This Row],[Rating]]="","Missing",IF(tblProducts[[#This Row],[Rating]]&lt;3,"Poor",IF(tblProducts[[#This Row],[Rating]]&lt;=4,"Average",IF(tblProducts[[#This Row],[Rating]]&lt;4.5, "Unclassified","Excellent"))))</f>
        <v>Excellent</v>
      </c>
    </row>
    <row r="36" spans="1:10" x14ac:dyDescent="0.35">
      <c r="A36" t="s">
        <v>114</v>
      </c>
      <c r="B36" s="5">
        <v>1980</v>
      </c>
      <c r="C36" s="5">
        <v>2699</v>
      </c>
      <c r="D36" s="5" t="str">
        <f>IF(tblProducts[[#This Row],[Current Price]]="","Missing",IF(tblProducts[[#This Row],[Current Price]]&lt;Price_Q1,"Low Price",IF(tblProducts[[#This Row],[Current Price]]&lt;Price_Q3,"Medium Price","High Price")))</f>
        <v>High Price</v>
      </c>
      <c r="E36" s="5">
        <f>tblProducts[[#This Row],[Old Price]]-tblProducts[[#This Row],[Current Price]]</f>
        <v>719</v>
      </c>
      <c r="F36" s="6">
        <v>0.27</v>
      </c>
      <c r="G36" s="6" t="str">
        <f>IF(tblProducts[[#This Row],[Discount]]="","Missing",IF(tblProducts[[#This Row],[Discount]]&lt;20%,"Low Discount",IF(tblProducts[[#This Row],[Discount]]&lt;=40%,"Medium Discount","High Discount")))</f>
        <v>Medium Discount</v>
      </c>
      <c r="H36" s="7">
        <v>32</v>
      </c>
      <c r="I36" s="3">
        <v>4.5</v>
      </c>
      <c r="J36" s="3" t="str">
        <f>IF(tblProducts[[#This Row],[Rating]]="","Missing",IF(tblProducts[[#This Row],[Rating]]&lt;3,"Poor",IF(tblProducts[[#This Row],[Rating]]&lt;=4,"Average",IF(tblProducts[[#This Row],[Rating]]&lt;4.5, "Unclassified","Excellent"))))</f>
        <v>Excellent</v>
      </c>
    </row>
    <row r="37" spans="1:10" x14ac:dyDescent="0.35">
      <c r="A37" t="s">
        <v>117</v>
      </c>
      <c r="B37" s="5">
        <v>1620</v>
      </c>
      <c r="C37" s="5">
        <v>2690</v>
      </c>
      <c r="D37" s="5" t="str">
        <f>IF(tblProducts[[#This Row],[Current Price]]="","Missing",IF(tblProducts[[#This Row],[Current Price]]&lt;Price_Q1,"Low Price",IF(tblProducts[[#This Row],[Current Price]]&lt;Price_Q3,"Medium Price","High Price")))</f>
        <v>Medium Price</v>
      </c>
      <c r="E37" s="5">
        <f>tblProducts[[#This Row],[Old Price]]-tblProducts[[#This Row],[Current Price]]</f>
        <v>1070</v>
      </c>
      <c r="F37" s="6">
        <v>0.4</v>
      </c>
      <c r="G37" s="6" t="str">
        <f>IF(tblProducts[[#This Row],[Discount]]="","Missing",IF(tblProducts[[#This Row],[Discount]]&lt;20%,"Low Discount",IF(tblProducts[[#This Row],[Discount]]&lt;=40%,"Medium Discount","High Discount")))</f>
        <v>Medium Discount</v>
      </c>
      <c r="H37" s="7">
        <v>1</v>
      </c>
      <c r="I37" s="3">
        <v>5</v>
      </c>
      <c r="J37" s="3" t="str">
        <f>IF(tblProducts[[#This Row],[Rating]]="","Missing",IF(tblProducts[[#This Row],[Rating]]&lt;3,"Poor",IF(tblProducts[[#This Row],[Rating]]&lt;=4,"Average",IF(tblProducts[[#This Row],[Rating]]&lt;4.5, "Unclassified","Excellent"))))</f>
        <v>Excellent</v>
      </c>
    </row>
    <row r="38" spans="1:10" x14ac:dyDescent="0.35">
      <c r="A38" t="s">
        <v>120</v>
      </c>
      <c r="B38" s="5">
        <v>171</v>
      </c>
      <c r="C38" s="5">
        <v>360</v>
      </c>
      <c r="D38" s="5" t="str">
        <f>IF(tblProducts[[#This Row],[Current Price]]="","Missing",IF(tblProducts[[#This Row],[Current Price]]&lt;Price_Q1,"Low Price",IF(tblProducts[[#This Row],[Current Price]]&lt;Price_Q3,"Medium Price","High Price")))</f>
        <v>Low Price</v>
      </c>
      <c r="E38" s="5">
        <f>tblProducts[[#This Row],[Old Price]]-tblProducts[[#This Row],[Current Price]]</f>
        <v>189</v>
      </c>
      <c r="F38" s="6">
        <v>0.53</v>
      </c>
      <c r="G38" s="6" t="str">
        <f>IF(tblProducts[[#This Row],[Discount]]="","Missing",IF(tblProducts[[#This Row],[Discount]]&lt;20%,"Low Discount",IF(tblProducts[[#This Row],[Discount]]&lt;=40%,"Medium Discount","High Discount")))</f>
        <v>High Discount</v>
      </c>
      <c r="H38" s="7">
        <v>2</v>
      </c>
      <c r="I38" s="3">
        <v>5</v>
      </c>
      <c r="J38" s="3" t="str">
        <f>IF(tblProducts[[#This Row],[Rating]]="","Missing",IF(tblProducts[[#This Row],[Rating]]&lt;3,"Poor",IF(tblProducts[[#This Row],[Rating]]&lt;=4,"Average",IF(tblProducts[[#This Row],[Rating]]&lt;4.5, "Unclassified","Excellent"))))</f>
        <v>Excellent</v>
      </c>
    </row>
    <row r="39" spans="1:10" x14ac:dyDescent="0.35">
      <c r="A39" t="s">
        <v>122</v>
      </c>
      <c r="B39" s="5">
        <v>389</v>
      </c>
      <c r="C39" s="5">
        <v>656</v>
      </c>
      <c r="D39" s="5" t="str">
        <f>IF(tblProducts[[#This Row],[Current Price]]="","Missing",IF(tblProducts[[#This Row],[Current Price]]&lt;Price_Q1,"Low Price",IF(tblProducts[[#This Row],[Current Price]]&lt;Price_Q3,"Medium Price","High Price")))</f>
        <v>Low Price</v>
      </c>
      <c r="E39" s="5">
        <f>tblProducts[[#This Row],[Old Price]]-tblProducts[[#This Row],[Current Price]]</f>
        <v>267</v>
      </c>
      <c r="F39" s="6">
        <v>0.41</v>
      </c>
      <c r="G39" s="6" t="str">
        <f>IF(tblProducts[[#This Row],[Discount]]="","Missing",IF(tblProducts[[#This Row],[Discount]]&lt;20%,"Low Discount",IF(tblProducts[[#This Row],[Discount]]&lt;=40%,"Medium Discount","High Discount")))</f>
        <v>High Discount</v>
      </c>
      <c r="H39" s="7">
        <v>36</v>
      </c>
      <c r="I39" s="3">
        <v>4.3</v>
      </c>
      <c r="J39" s="3" t="str">
        <f>IF(tblProducts[[#This Row],[Rating]]="","Missing",IF(tblProducts[[#This Row],[Rating]]&lt;3,"Poor",IF(tblProducts[[#This Row],[Rating]]&lt;=4,"Average",IF(tblProducts[[#This Row],[Rating]]&lt;4.5, "Unclassified","Excellent"))))</f>
        <v>Unclassified</v>
      </c>
    </row>
    <row r="40" spans="1:10" x14ac:dyDescent="0.35">
      <c r="A40" t="s">
        <v>125</v>
      </c>
      <c r="B40" s="5">
        <v>1800</v>
      </c>
      <c r="C40" s="5">
        <v>2700</v>
      </c>
      <c r="D40" s="5" t="str">
        <f>IF(tblProducts[[#This Row],[Current Price]]="","Missing",IF(tblProducts[[#This Row],[Current Price]]&lt;Price_Q1,"Low Price",IF(tblProducts[[#This Row],[Current Price]]&lt;Price_Q3,"Medium Price","High Price")))</f>
        <v>High Price</v>
      </c>
      <c r="E40" s="5">
        <f>tblProducts[[#This Row],[Old Price]]-tblProducts[[#This Row],[Current Price]]</f>
        <v>900</v>
      </c>
      <c r="F40" s="6">
        <v>0.38</v>
      </c>
      <c r="G40" s="6" t="str">
        <f>IF(tblProducts[[#This Row],[Discount]]="","Missing",IF(tblProducts[[#This Row],[Discount]]&lt;20%,"Low Discount",IF(tblProducts[[#This Row],[Discount]]&lt;=40%,"Medium Discount","High Discount")))</f>
        <v>Medium Discount</v>
      </c>
      <c r="H40" s="7">
        <v>2</v>
      </c>
      <c r="I40" s="3">
        <v>4.5</v>
      </c>
      <c r="J40" s="3" t="str">
        <f>IF(tblProducts[[#This Row],[Rating]]="","Missing",IF(tblProducts[[#This Row],[Rating]]&lt;3,"Poor",IF(tblProducts[[#This Row],[Rating]]&lt;=4,"Average",IF(tblProducts[[#This Row],[Rating]]&lt;4.5, "Unclassified","Excellent"))))</f>
        <v>Excellent</v>
      </c>
    </row>
    <row r="41" spans="1:10" x14ac:dyDescent="0.35">
      <c r="A41" t="s">
        <v>128</v>
      </c>
      <c r="B41" s="5">
        <v>2750</v>
      </c>
      <c r="C41" s="5">
        <v>4471</v>
      </c>
      <c r="D41" s="5" t="str">
        <f>IF(tblProducts[[#This Row],[Current Price]]="","Missing",IF(tblProducts[[#This Row],[Current Price]]&lt;Price_Q1,"Low Price",IF(tblProducts[[#This Row],[Current Price]]&lt;Price_Q3,"Medium Price","High Price")))</f>
        <v>High Price</v>
      </c>
      <c r="E41" s="5">
        <f>tblProducts[[#This Row],[Old Price]]-tblProducts[[#This Row],[Current Price]]</f>
        <v>1721</v>
      </c>
      <c r="F41" s="6">
        <v>0.38</v>
      </c>
      <c r="G41" s="6" t="str">
        <f>IF(tblProducts[[#This Row],[Discount]]="","Missing",IF(tblProducts[[#This Row],[Discount]]&lt;20%,"Low Discount",IF(tblProducts[[#This Row],[Discount]]&lt;=40%,"Medium Discount","High Discount")))</f>
        <v>Medium Discount</v>
      </c>
      <c r="H41" s="7" t="s">
        <v>341</v>
      </c>
      <c r="I41" s="3"/>
      <c r="J41" s="3" t="str">
        <f>IF(tblProducts[[#This Row],[Rating]]="","Missing",IF(tblProducts[[#This Row],[Rating]]&lt;3,"Poor",IF(tblProducts[[#This Row],[Rating]]&lt;=4,"Average",IF(tblProducts[[#This Row],[Rating]]&lt;4.5, "Unclassified","Excellent"))))</f>
        <v>Missing</v>
      </c>
    </row>
    <row r="42" spans="1:10" x14ac:dyDescent="0.35">
      <c r="A42" t="s">
        <v>131</v>
      </c>
      <c r="B42" s="5">
        <v>475</v>
      </c>
      <c r="C42" s="5">
        <v>931</v>
      </c>
      <c r="D42" s="5" t="str">
        <f>IF(tblProducts[[#This Row],[Current Price]]="","Missing",IF(tblProducts[[#This Row],[Current Price]]&lt;Price_Q1,"Low Price",IF(tblProducts[[#This Row],[Current Price]]&lt;Price_Q3,"Medium Price","High Price")))</f>
        <v>Low Price</v>
      </c>
      <c r="E42" s="5">
        <f>tblProducts[[#This Row],[Old Price]]-tblProducts[[#This Row],[Current Price]]</f>
        <v>456</v>
      </c>
      <c r="F42" s="6">
        <v>0.49</v>
      </c>
      <c r="G42" s="6" t="str">
        <f>IF(tblProducts[[#This Row],[Discount]]="","Missing",IF(tblProducts[[#This Row],[Discount]]&lt;20%,"Low Discount",IF(tblProducts[[#This Row],[Discount]]&lt;=40%,"Medium Discount","High Discount")))</f>
        <v>High Discount</v>
      </c>
      <c r="H42" s="7" t="s">
        <v>341</v>
      </c>
      <c r="I42" s="3"/>
      <c r="J42" s="3" t="str">
        <f>IF(tblProducts[[#This Row],[Rating]]="","Missing",IF(tblProducts[[#This Row],[Rating]]&lt;3,"Poor",IF(tblProducts[[#This Row],[Rating]]&lt;=4,"Average",IF(tblProducts[[#This Row],[Rating]]&lt;4.5, "Unclassified","Excellent"))))</f>
        <v>Missing</v>
      </c>
    </row>
    <row r="43" spans="1:10" x14ac:dyDescent="0.35">
      <c r="A43" t="s">
        <v>134</v>
      </c>
      <c r="B43" s="5">
        <v>238</v>
      </c>
      <c r="C43" s="5">
        <v>476</v>
      </c>
      <c r="D43" s="5" t="str">
        <f>IF(tblProducts[[#This Row],[Current Price]]="","Missing",IF(tblProducts[[#This Row],[Current Price]]&lt;Price_Q1,"Low Price",IF(tblProducts[[#This Row],[Current Price]]&lt;Price_Q3,"Medium Price","High Price")))</f>
        <v>Low Price</v>
      </c>
      <c r="E43" s="5">
        <f>tblProducts[[#This Row],[Old Price]]-tblProducts[[#This Row],[Current Price]]</f>
        <v>238</v>
      </c>
      <c r="F43" s="6">
        <v>0.5</v>
      </c>
      <c r="G43" s="6" t="str">
        <f>IF(tblProducts[[#This Row],[Discount]]="","Missing",IF(tblProducts[[#This Row],[Discount]]&lt;20%,"Low Discount",IF(tblProducts[[#This Row],[Discount]]&lt;=40%,"Medium Discount","High Discount")))</f>
        <v>High Discount</v>
      </c>
      <c r="H43" s="7" t="s">
        <v>341</v>
      </c>
      <c r="I43" s="3"/>
      <c r="J43" s="3" t="str">
        <f>IF(tblProducts[[#This Row],[Rating]]="","Missing",IF(tblProducts[[#This Row],[Rating]]&lt;3,"Poor",IF(tblProducts[[#This Row],[Rating]]&lt;=4,"Average",IF(tblProducts[[#This Row],[Rating]]&lt;4.5, "Unclassified","Excellent"))))</f>
        <v>Missing</v>
      </c>
    </row>
    <row r="44" spans="1:10" x14ac:dyDescent="0.35">
      <c r="A44" t="s">
        <v>137</v>
      </c>
      <c r="B44" s="5">
        <v>610</v>
      </c>
      <c r="C44" s="5">
        <v>1060</v>
      </c>
      <c r="D44" s="5" t="str">
        <f>IF(tblProducts[[#This Row],[Current Price]]="","Missing",IF(tblProducts[[#This Row],[Current Price]]&lt;Price_Q1,"Low Price",IF(tblProducts[[#This Row],[Current Price]]&lt;Price_Q3,"Medium Price","High Price")))</f>
        <v>Medium Price</v>
      </c>
      <c r="E44" s="5">
        <f>tblProducts[[#This Row],[Old Price]]-tblProducts[[#This Row],[Current Price]]</f>
        <v>450</v>
      </c>
      <c r="F44" s="6">
        <v>0.42</v>
      </c>
      <c r="G44" s="6" t="str">
        <f>IF(tblProducts[[#This Row],[Discount]]="","Missing",IF(tblProducts[[#This Row],[Discount]]&lt;20%,"Low Discount",IF(tblProducts[[#This Row],[Discount]]&lt;=40%,"Medium Discount","High Discount")))</f>
        <v>High Discount</v>
      </c>
      <c r="H44" s="7" t="s">
        <v>341</v>
      </c>
      <c r="I44" s="3"/>
      <c r="J44" s="3" t="str">
        <f>IF(tblProducts[[#This Row],[Rating]]="","Missing",IF(tblProducts[[#This Row],[Rating]]&lt;3,"Poor",IF(tblProducts[[#This Row],[Rating]]&lt;=4,"Average",IF(tblProducts[[#This Row],[Rating]]&lt;4.5, "Unclassified","Excellent"))))</f>
        <v>Missing</v>
      </c>
    </row>
    <row r="45" spans="1:10" x14ac:dyDescent="0.35">
      <c r="A45" t="s">
        <v>140</v>
      </c>
      <c r="B45" s="5">
        <v>2132</v>
      </c>
      <c r="C45" s="5">
        <v>2169</v>
      </c>
      <c r="D45" s="5" t="str">
        <f>IF(tblProducts[[#This Row],[Current Price]]="","Missing",IF(tblProducts[[#This Row],[Current Price]]&lt;Price_Q1,"Low Price",IF(tblProducts[[#This Row],[Current Price]]&lt;Price_Q3,"Medium Price","High Price")))</f>
        <v>High Price</v>
      </c>
      <c r="E45" s="5">
        <f>tblProducts[[#This Row],[Old Price]]-tblProducts[[#This Row],[Current Price]]</f>
        <v>37</v>
      </c>
      <c r="F45" s="6">
        <v>0.02</v>
      </c>
      <c r="G45" s="6" t="str">
        <f>IF(tblProducts[[#This Row],[Discount]]="","Missing",IF(tblProducts[[#This Row],[Discount]]&lt;20%,"Low Discount",IF(tblProducts[[#This Row],[Discount]]&lt;=40%,"Medium Discount","High Discount")))</f>
        <v>Low Discount</v>
      </c>
      <c r="H45" s="7" t="s">
        <v>341</v>
      </c>
      <c r="I45" s="3"/>
      <c r="J45" s="3" t="str">
        <f>IF(tblProducts[[#This Row],[Rating]]="","Missing",IF(tblProducts[[#This Row],[Rating]]&lt;3,"Poor",IF(tblProducts[[#This Row],[Rating]]&lt;=4,"Average",IF(tblProducts[[#This Row],[Rating]]&lt;4.5, "Unclassified","Excellent"))))</f>
        <v>Missing</v>
      </c>
    </row>
    <row r="46" spans="1:10" x14ac:dyDescent="0.35">
      <c r="A46" t="s">
        <v>143</v>
      </c>
      <c r="B46" s="5">
        <v>999</v>
      </c>
      <c r="C46" s="5">
        <v>2000</v>
      </c>
      <c r="D46" s="5" t="str">
        <f>IF(tblProducts[[#This Row],[Current Price]]="","Missing",IF(tblProducts[[#This Row],[Current Price]]&lt;Price_Q1,"Low Price",IF(tblProducts[[#This Row],[Current Price]]&lt;Price_Q3,"Medium Price","High Price")))</f>
        <v>Medium Price</v>
      </c>
      <c r="E46" s="5">
        <f>tblProducts[[#This Row],[Old Price]]-tblProducts[[#This Row],[Current Price]]</f>
        <v>1001</v>
      </c>
      <c r="F46" s="6">
        <v>0.5</v>
      </c>
      <c r="G46" s="6" t="str">
        <f>IF(tblProducts[[#This Row],[Discount]]="","Missing",IF(tblProducts[[#This Row],[Discount]]&lt;20%,"Low Discount",IF(tblProducts[[#This Row],[Discount]]&lt;=40%,"Medium Discount","High Discount")))</f>
        <v>High Discount</v>
      </c>
      <c r="H46" s="7" t="s">
        <v>341</v>
      </c>
      <c r="I46" s="3"/>
      <c r="J46" s="3" t="str">
        <f>IF(tblProducts[[#This Row],[Rating]]="","Missing",IF(tblProducts[[#This Row],[Rating]]&lt;3,"Poor",IF(tblProducts[[#This Row],[Rating]]&lt;=4,"Average",IF(tblProducts[[#This Row],[Rating]]&lt;4.5, "Unclassified","Excellent"))))</f>
        <v>Missing</v>
      </c>
    </row>
    <row r="47" spans="1:10" x14ac:dyDescent="0.35">
      <c r="A47" t="s">
        <v>145</v>
      </c>
      <c r="B47" s="5">
        <v>1190</v>
      </c>
      <c r="C47" s="5">
        <v>1785</v>
      </c>
      <c r="D47" s="5" t="str">
        <f>IF(tblProducts[[#This Row],[Current Price]]="","Missing",IF(tblProducts[[#This Row],[Current Price]]&lt;Price_Q1,"Low Price",IF(tblProducts[[#This Row],[Current Price]]&lt;Price_Q3,"Medium Price","High Price")))</f>
        <v>Medium Price</v>
      </c>
      <c r="E47" s="5">
        <f>tblProducts[[#This Row],[Old Price]]-tblProducts[[#This Row],[Current Price]]</f>
        <v>595</v>
      </c>
      <c r="F47" s="6">
        <v>0.33</v>
      </c>
      <c r="G47" s="6" t="str">
        <f>IF(tblProducts[[#This Row],[Discount]]="","Missing",IF(tblProducts[[#This Row],[Discount]]&lt;20%,"Low Discount",IF(tblProducts[[#This Row],[Discount]]&lt;=40%,"Medium Discount","High Discount")))</f>
        <v>Medium Discount</v>
      </c>
      <c r="H47" s="7" t="s">
        <v>341</v>
      </c>
      <c r="I47" s="3"/>
      <c r="J47" s="3" t="str">
        <f>IF(tblProducts[[#This Row],[Rating]]="","Missing",IF(tblProducts[[#This Row],[Rating]]&lt;3,"Poor",IF(tblProducts[[#This Row],[Rating]]&lt;=4,"Average",IF(tblProducts[[#This Row],[Rating]]&lt;4.5, "Unclassified","Excellent"))))</f>
        <v>Missing</v>
      </c>
    </row>
    <row r="48" spans="1:10" x14ac:dyDescent="0.35">
      <c r="A48" t="s">
        <v>148</v>
      </c>
      <c r="B48" s="5">
        <v>671</v>
      </c>
      <c r="C48" s="5">
        <v>1316</v>
      </c>
      <c r="D48" s="5" t="str">
        <f>IF(tblProducts[[#This Row],[Current Price]]="","Missing",IF(tblProducts[[#This Row],[Current Price]]&lt;Price_Q1,"Low Price",IF(tblProducts[[#This Row],[Current Price]]&lt;Price_Q3,"Medium Price","High Price")))</f>
        <v>Medium Price</v>
      </c>
      <c r="E48" s="5">
        <f>tblProducts[[#This Row],[Old Price]]-tblProducts[[#This Row],[Current Price]]</f>
        <v>645</v>
      </c>
      <c r="F48" s="6">
        <v>0.49</v>
      </c>
      <c r="G48" s="6" t="str">
        <f>IF(tblProducts[[#This Row],[Discount]]="","Missing",IF(tblProducts[[#This Row],[Discount]]&lt;20%,"Low Discount",IF(tblProducts[[#This Row],[Discount]]&lt;=40%,"Medium Discount","High Discount")))</f>
        <v>High Discount</v>
      </c>
      <c r="H48" s="7" t="s">
        <v>341</v>
      </c>
      <c r="I48" s="3"/>
      <c r="J48" s="3" t="str">
        <f>IF(tblProducts[[#This Row],[Rating]]="","Missing",IF(tblProducts[[#This Row],[Rating]]&lt;3,"Poor",IF(tblProducts[[#This Row],[Rating]]&lt;=4,"Average",IF(tblProducts[[#This Row],[Rating]]&lt;4.5, "Unclassified","Excellent"))))</f>
        <v>Missing</v>
      </c>
    </row>
    <row r="49" spans="1:10" x14ac:dyDescent="0.35">
      <c r="A49" t="s">
        <v>151</v>
      </c>
      <c r="B49" s="5">
        <v>1200</v>
      </c>
      <c r="C49" s="5">
        <v>1950</v>
      </c>
      <c r="D49" s="5" t="str">
        <f>IF(tblProducts[[#This Row],[Current Price]]="","Missing",IF(tblProducts[[#This Row],[Current Price]]&lt;Price_Q1,"Low Price",IF(tblProducts[[#This Row],[Current Price]]&lt;Price_Q3,"Medium Price","High Price")))</f>
        <v>Medium Price</v>
      </c>
      <c r="E49" s="5">
        <f>tblProducts[[#This Row],[Old Price]]-tblProducts[[#This Row],[Current Price]]</f>
        <v>750</v>
      </c>
      <c r="F49" s="6">
        <v>0.38</v>
      </c>
      <c r="G49" s="6" t="str">
        <f>IF(tblProducts[[#This Row],[Discount]]="","Missing",IF(tblProducts[[#This Row],[Discount]]&lt;20%,"Low Discount",IF(tblProducts[[#This Row],[Discount]]&lt;=40%,"Medium Discount","High Discount")))</f>
        <v>Medium Discount</v>
      </c>
      <c r="H49" s="7" t="s">
        <v>341</v>
      </c>
      <c r="I49" s="3"/>
      <c r="J49" s="3" t="str">
        <f>IF(tblProducts[[#This Row],[Rating]]="","Missing",IF(tblProducts[[#This Row],[Rating]]&lt;3,"Poor",IF(tblProducts[[#This Row],[Rating]]&lt;=4,"Average",IF(tblProducts[[#This Row],[Rating]]&lt;4.5, "Unclassified","Excellent"))))</f>
        <v>Missing</v>
      </c>
    </row>
    <row r="50" spans="1:10" x14ac:dyDescent="0.35">
      <c r="A50" t="s">
        <v>154</v>
      </c>
      <c r="B50" s="5">
        <v>199</v>
      </c>
      <c r="C50" s="5">
        <v>504</v>
      </c>
      <c r="D50" s="5" t="str">
        <f>IF(tblProducts[[#This Row],[Current Price]]="","Missing",IF(tblProducts[[#This Row],[Current Price]]&lt;Price_Q1,"Low Price",IF(tblProducts[[#This Row],[Current Price]]&lt;Price_Q3,"Medium Price","High Price")))</f>
        <v>Low Price</v>
      </c>
      <c r="E50" s="5">
        <f>tblProducts[[#This Row],[Old Price]]-tblProducts[[#This Row],[Current Price]]</f>
        <v>305</v>
      </c>
      <c r="F50" s="6">
        <v>0.61</v>
      </c>
      <c r="G50" s="6" t="str">
        <f>IF(tblProducts[[#This Row],[Discount]]="","Missing",IF(tblProducts[[#This Row],[Discount]]&lt;20%,"Low Discount",IF(tblProducts[[#This Row],[Discount]]&lt;=40%,"Medium Discount","High Discount")))</f>
        <v>High Discount</v>
      </c>
      <c r="H50" s="7" t="s">
        <v>341</v>
      </c>
      <c r="I50" s="3"/>
      <c r="J50" s="3" t="str">
        <f>IF(tblProducts[[#This Row],[Rating]]="","Missing",IF(tblProducts[[#This Row],[Rating]]&lt;3,"Poor",IF(tblProducts[[#This Row],[Rating]]&lt;=4,"Average",IF(tblProducts[[#This Row],[Rating]]&lt;4.5, "Unclassified","Excellent"))))</f>
        <v>Missing</v>
      </c>
    </row>
    <row r="51" spans="1:10" x14ac:dyDescent="0.35">
      <c r="A51" t="s">
        <v>157</v>
      </c>
      <c r="B51" s="5">
        <v>299</v>
      </c>
      <c r="C51" s="5">
        <v>600</v>
      </c>
      <c r="D51" s="5" t="str">
        <f>IF(tblProducts[[#This Row],[Current Price]]="","Missing",IF(tblProducts[[#This Row],[Current Price]]&lt;Price_Q1,"Low Price",IF(tblProducts[[#This Row],[Current Price]]&lt;Price_Q3,"Medium Price","High Price")))</f>
        <v>Low Price</v>
      </c>
      <c r="E51" s="5">
        <f>tblProducts[[#This Row],[Old Price]]-tblProducts[[#This Row],[Current Price]]</f>
        <v>301</v>
      </c>
      <c r="F51" s="6">
        <v>0.5</v>
      </c>
      <c r="G51" s="6" t="str">
        <f>IF(tblProducts[[#This Row],[Discount]]="","Missing",IF(tblProducts[[#This Row],[Discount]]&lt;20%,"Low Discount",IF(tblProducts[[#This Row],[Discount]]&lt;=40%,"Medium Discount","High Discount")))</f>
        <v>High Discount</v>
      </c>
      <c r="H51" s="7" t="s">
        <v>341</v>
      </c>
      <c r="I51" s="3"/>
      <c r="J51" s="3" t="str">
        <f>IF(tblProducts[[#This Row],[Rating]]="","Missing",IF(tblProducts[[#This Row],[Rating]]&lt;3,"Poor",IF(tblProducts[[#This Row],[Rating]]&lt;=4,"Average",IF(tblProducts[[#This Row],[Rating]]&lt;4.5, "Unclassified","Excellent"))))</f>
        <v>Missing</v>
      </c>
    </row>
    <row r="52" spans="1:10" x14ac:dyDescent="0.35">
      <c r="A52" t="s">
        <v>160</v>
      </c>
      <c r="B52" s="5">
        <v>1660</v>
      </c>
      <c r="C52" s="5">
        <v>1699</v>
      </c>
      <c r="D52" s="5" t="str">
        <f>IF(tblProducts[[#This Row],[Current Price]]="","Missing",IF(tblProducts[[#This Row],[Current Price]]&lt;Price_Q1,"Low Price",IF(tblProducts[[#This Row],[Current Price]]&lt;Price_Q3,"Medium Price","High Price")))</f>
        <v>Medium Price</v>
      </c>
      <c r="E52" s="5">
        <f>tblProducts[[#This Row],[Old Price]]-tblProducts[[#This Row],[Current Price]]</f>
        <v>39</v>
      </c>
      <c r="F52" s="6">
        <v>0.02</v>
      </c>
      <c r="G52" s="6" t="str">
        <f>IF(tblProducts[[#This Row],[Discount]]="","Missing",IF(tblProducts[[#This Row],[Discount]]&lt;20%,"Low Discount",IF(tblProducts[[#This Row],[Discount]]&lt;=40%,"Medium Discount","High Discount")))</f>
        <v>Low Discount</v>
      </c>
      <c r="H52" s="7" t="s">
        <v>341</v>
      </c>
      <c r="I52" s="3"/>
      <c r="J52" s="3" t="str">
        <f>IF(tblProducts[[#This Row],[Rating]]="","Missing",IF(tblProducts[[#This Row],[Rating]]&lt;3,"Poor",IF(tblProducts[[#This Row],[Rating]]&lt;=4,"Average",IF(tblProducts[[#This Row],[Rating]]&lt;4.5, "Unclassified","Excellent"))))</f>
        <v>Missing</v>
      </c>
    </row>
    <row r="53" spans="1:10" x14ac:dyDescent="0.35">
      <c r="A53" t="s">
        <v>163</v>
      </c>
      <c r="B53" s="5">
        <v>299</v>
      </c>
      <c r="C53" s="5">
        <v>384</v>
      </c>
      <c r="D53" s="5" t="str">
        <f>IF(tblProducts[[#This Row],[Current Price]]="","Missing",IF(tblProducts[[#This Row],[Current Price]]&lt;Price_Q1,"Low Price",IF(tblProducts[[#This Row],[Current Price]]&lt;Price_Q3,"Medium Price","High Price")))</f>
        <v>Low Price</v>
      </c>
      <c r="E53" s="5">
        <f>tblProducts[[#This Row],[Old Price]]-tblProducts[[#This Row],[Current Price]]</f>
        <v>85</v>
      </c>
      <c r="F53" s="6">
        <v>0.22</v>
      </c>
      <c r="G53" s="6" t="str">
        <f>IF(tblProducts[[#This Row],[Discount]]="","Missing",IF(tblProducts[[#This Row],[Discount]]&lt;20%,"Low Discount",IF(tblProducts[[#This Row],[Discount]]&lt;=40%,"Medium Discount","High Discount")))</f>
        <v>Medium Discount</v>
      </c>
      <c r="H53" s="7" t="s">
        <v>341</v>
      </c>
      <c r="I53" s="3"/>
      <c r="J53" s="3" t="str">
        <f>IF(tblProducts[[#This Row],[Rating]]="","Missing",IF(tblProducts[[#This Row],[Rating]]&lt;3,"Poor",IF(tblProducts[[#This Row],[Rating]]&lt;=4,"Average",IF(tblProducts[[#This Row],[Rating]]&lt;4.5, "Unclassified","Excellent"))))</f>
        <v>Missing</v>
      </c>
    </row>
    <row r="54" spans="1:10" x14ac:dyDescent="0.35">
      <c r="A54" t="s">
        <v>165</v>
      </c>
      <c r="B54" s="5">
        <v>1459</v>
      </c>
      <c r="C54" s="5">
        <v>1499</v>
      </c>
      <c r="D54" s="5" t="str">
        <f>IF(tblProducts[[#This Row],[Current Price]]="","Missing",IF(tblProducts[[#This Row],[Current Price]]&lt;Price_Q1,"Low Price",IF(tblProducts[[#This Row],[Current Price]]&lt;Price_Q3,"Medium Price","High Price")))</f>
        <v>Medium Price</v>
      </c>
      <c r="E54" s="5">
        <f>tblProducts[[#This Row],[Old Price]]-tblProducts[[#This Row],[Current Price]]</f>
        <v>40</v>
      </c>
      <c r="F54" s="6">
        <v>0.03</v>
      </c>
      <c r="G54" s="6" t="str">
        <f>IF(tblProducts[[#This Row],[Discount]]="","Missing",IF(tblProducts[[#This Row],[Discount]]&lt;20%,"Low Discount",IF(tblProducts[[#This Row],[Discount]]&lt;=40%,"Medium Discount","High Discount")))</f>
        <v>Low Discount</v>
      </c>
      <c r="H54" s="7" t="s">
        <v>341</v>
      </c>
      <c r="I54" s="3"/>
      <c r="J54" s="3" t="str">
        <f>IF(tblProducts[[#This Row],[Rating]]="","Missing",IF(tblProducts[[#This Row],[Rating]]&lt;3,"Poor",IF(tblProducts[[#This Row],[Rating]]&lt;=4,"Average",IF(tblProducts[[#This Row],[Rating]]&lt;4.5, "Unclassified","Excellent"))))</f>
        <v>Missing</v>
      </c>
    </row>
    <row r="55" spans="1:10" x14ac:dyDescent="0.35">
      <c r="A55" t="s">
        <v>168</v>
      </c>
      <c r="B55" s="5">
        <v>799</v>
      </c>
      <c r="C55" s="5">
        <v>1343</v>
      </c>
      <c r="D55" s="5" t="str">
        <f>IF(tblProducts[[#This Row],[Current Price]]="","Missing",IF(tblProducts[[#This Row],[Current Price]]&lt;Price_Q1,"Low Price",IF(tblProducts[[#This Row],[Current Price]]&lt;Price_Q3,"Medium Price","High Price")))</f>
        <v>Medium Price</v>
      </c>
      <c r="E55" s="5">
        <f>tblProducts[[#This Row],[Old Price]]-tblProducts[[#This Row],[Current Price]]</f>
        <v>544</v>
      </c>
      <c r="F55" s="6">
        <v>0.41</v>
      </c>
      <c r="G55" s="6" t="str">
        <f>IF(tblProducts[[#This Row],[Discount]]="","Missing",IF(tblProducts[[#This Row],[Discount]]&lt;20%,"Low Discount",IF(tblProducts[[#This Row],[Discount]]&lt;=40%,"Medium Discount","High Discount")))</f>
        <v>High Discount</v>
      </c>
      <c r="H55" s="7" t="s">
        <v>341</v>
      </c>
      <c r="I55" s="3"/>
      <c r="J55" s="3" t="str">
        <f>IF(tblProducts[[#This Row],[Rating]]="","Missing",IF(tblProducts[[#This Row],[Rating]]&lt;3,"Poor",IF(tblProducts[[#This Row],[Rating]]&lt;=4,"Average",IF(tblProducts[[#This Row],[Rating]]&lt;4.5, "Unclassified","Excellent"))))</f>
        <v>Missing</v>
      </c>
    </row>
    <row r="56" spans="1:10" x14ac:dyDescent="0.35">
      <c r="A56" t="s">
        <v>170</v>
      </c>
      <c r="B56" s="5">
        <v>499</v>
      </c>
      <c r="C56" s="5">
        <v>900</v>
      </c>
      <c r="D56" s="5" t="str">
        <f>IF(tblProducts[[#This Row],[Current Price]]="","Missing",IF(tblProducts[[#This Row],[Current Price]]&lt;Price_Q1,"Low Price",IF(tblProducts[[#This Row],[Current Price]]&lt;Price_Q3,"Medium Price","High Price")))</f>
        <v>Medium Price</v>
      </c>
      <c r="E56" s="5">
        <f>tblProducts[[#This Row],[Old Price]]-tblProducts[[#This Row],[Current Price]]</f>
        <v>401</v>
      </c>
      <c r="F56" s="6">
        <v>0.45</v>
      </c>
      <c r="G56" s="6" t="str">
        <f>IF(tblProducts[[#This Row],[Discount]]="","Missing",IF(tblProducts[[#This Row],[Discount]]&lt;20%,"Low Discount",IF(tblProducts[[#This Row],[Discount]]&lt;=40%,"Medium Discount","High Discount")))</f>
        <v>High Discount</v>
      </c>
      <c r="H56" s="7" t="s">
        <v>341</v>
      </c>
      <c r="I56" s="3"/>
      <c r="J56" s="3" t="str">
        <f>IF(tblProducts[[#This Row],[Rating]]="","Missing",IF(tblProducts[[#This Row],[Rating]]&lt;3,"Poor",IF(tblProducts[[#This Row],[Rating]]&lt;=4,"Average",IF(tblProducts[[#This Row],[Rating]]&lt;4.5, "Unclassified","Excellent"))))</f>
        <v>Missing</v>
      </c>
    </row>
    <row r="57" spans="1:10" x14ac:dyDescent="0.35">
      <c r="A57" t="s">
        <v>173</v>
      </c>
      <c r="B57" s="5">
        <v>699</v>
      </c>
      <c r="C57" s="5">
        <v>1343</v>
      </c>
      <c r="D57" s="5" t="str">
        <f>IF(tblProducts[[#This Row],[Current Price]]="","Missing",IF(tblProducts[[#This Row],[Current Price]]&lt;Price_Q1,"Low Price",IF(tblProducts[[#This Row],[Current Price]]&lt;Price_Q3,"Medium Price","High Price")))</f>
        <v>Medium Price</v>
      </c>
      <c r="E57" s="5">
        <f>tblProducts[[#This Row],[Old Price]]-tblProducts[[#This Row],[Current Price]]</f>
        <v>644</v>
      </c>
      <c r="F57" s="6">
        <v>0.48</v>
      </c>
      <c r="G57" s="6" t="str">
        <f>IF(tblProducts[[#This Row],[Discount]]="","Missing",IF(tblProducts[[#This Row],[Discount]]&lt;20%,"Low Discount",IF(tblProducts[[#This Row],[Discount]]&lt;=40%,"Medium Discount","High Discount")))</f>
        <v>High Discount</v>
      </c>
      <c r="H57" s="7" t="s">
        <v>341</v>
      </c>
      <c r="I57" s="3"/>
      <c r="J57" s="3" t="str">
        <f>IF(tblProducts[[#This Row],[Rating]]="","Missing",IF(tblProducts[[#This Row],[Rating]]&lt;3,"Poor",IF(tblProducts[[#This Row],[Rating]]&lt;=4,"Average",IF(tblProducts[[#This Row],[Rating]]&lt;4.5, "Unclassified","Excellent"))))</f>
        <v>Missing</v>
      </c>
    </row>
    <row r="58" spans="1:10" x14ac:dyDescent="0.35">
      <c r="A58" t="s">
        <v>175</v>
      </c>
      <c r="B58" s="5">
        <v>799</v>
      </c>
      <c r="C58" s="5">
        <v>1567</v>
      </c>
      <c r="D58" s="5" t="str">
        <f>IF(tblProducts[[#This Row],[Current Price]]="","Missing",IF(tblProducts[[#This Row],[Current Price]]&lt;Price_Q1,"Low Price",IF(tblProducts[[#This Row],[Current Price]]&lt;Price_Q3,"Medium Price","High Price")))</f>
        <v>Medium Price</v>
      </c>
      <c r="E58" s="5">
        <f>tblProducts[[#This Row],[Old Price]]-tblProducts[[#This Row],[Current Price]]</f>
        <v>768</v>
      </c>
      <c r="F58" s="6">
        <v>0.49</v>
      </c>
      <c r="G58" s="6" t="str">
        <f>IF(tblProducts[[#This Row],[Discount]]="","Missing",IF(tblProducts[[#This Row],[Discount]]&lt;20%,"Low Discount",IF(tblProducts[[#This Row],[Discount]]&lt;=40%,"Medium Discount","High Discount")))</f>
        <v>High Discount</v>
      </c>
      <c r="H58" s="7" t="s">
        <v>341</v>
      </c>
      <c r="I58" s="3"/>
      <c r="J58" s="3" t="str">
        <f>IF(tblProducts[[#This Row],[Rating]]="","Missing",IF(tblProducts[[#This Row],[Rating]]&lt;3,"Poor",IF(tblProducts[[#This Row],[Rating]]&lt;=4,"Average",IF(tblProducts[[#This Row],[Rating]]&lt;4.5, "Unclassified","Excellent"))))</f>
        <v>Missing</v>
      </c>
    </row>
    <row r="59" spans="1:10" x14ac:dyDescent="0.35">
      <c r="A59" t="s">
        <v>177</v>
      </c>
      <c r="B59" s="5">
        <v>2799</v>
      </c>
      <c r="C59" s="5">
        <v>3810</v>
      </c>
      <c r="D59" s="5" t="str">
        <f>IF(tblProducts[[#This Row],[Current Price]]="","Missing",IF(tblProducts[[#This Row],[Current Price]]&lt;Price_Q1,"Low Price",IF(tblProducts[[#This Row],[Current Price]]&lt;Price_Q3,"Medium Price","High Price")))</f>
        <v>High Price</v>
      </c>
      <c r="E59" s="5">
        <f>tblProducts[[#This Row],[Old Price]]-tblProducts[[#This Row],[Current Price]]</f>
        <v>1011</v>
      </c>
      <c r="F59" s="6">
        <v>0.27</v>
      </c>
      <c r="G59" s="6" t="str">
        <f>IF(tblProducts[[#This Row],[Discount]]="","Missing",IF(tblProducts[[#This Row],[Discount]]&lt;20%,"Low Discount",IF(tblProducts[[#This Row],[Discount]]&lt;=40%,"Medium Discount","High Discount")))</f>
        <v>Medium Discount</v>
      </c>
      <c r="H59" s="7" t="s">
        <v>341</v>
      </c>
      <c r="I59" s="3"/>
      <c r="J59" s="3" t="str">
        <f>IF(tblProducts[[#This Row],[Rating]]="","Missing",IF(tblProducts[[#This Row],[Rating]]&lt;3,"Poor",IF(tblProducts[[#This Row],[Rating]]&lt;=4,"Average",IF(tblProducts[[#This Row],[Rating]]&lt;4.5, "Unclassified","Excellent"))))</f>
        <v>Missing</v>
      </c>
    </row>
    <row r="60" spans="1:10" x14ac:dyDescent="0.35">
      <c r="A60" t="s">
        <v>170</v>
      </c>
      <c r="B60" s="5">
        <v>399</v>
      </c>
      <c r="C60" s="5">
        <v>896</v>
      </c>
      <c r="D60" s="5" t="str">
        <f>IF(tblProducts[[#This Row],[Current Price]]="","Missing",IF(tblProducts[[#This Row],[Current Price]]&lt;Price_Q1,"Low Price",IF(tblProducts[[#This Row],[Current Price]]&lt;Price_Q3,"Medium Price","High Price")))</f>
        <v>Low Price</v>
      </c>
      <c r="E60" s="5">
        <f>tblProducts[[#This Row],[Old Price]]-tblProducts[[#This Row],[Current Price]]</f>
        <v>497</v>
      </c>
      <c r="F60" s="6">
        <v>0.55000000000000004</v>
      </c>
      <c r="G60" s="6" t="str">
        <f>IF(tblProducts[[#This Row],[Discount]]="","Missing",IF(tblProducts[[#This Row],[Discount]]&lt;20%,"Low Discount",IF(tblProducts[[#This Row],[Discount]]&lt;=40%,"Medium Discount","High Discount")))</f>
        <v>High Discount</v>
      </c>
      <c r="H60" s="7" t="s">
        <v>341</v>
      </c>
      <c r="I60" s="3"/>
      <c r="J60" s="3" t="str">
        <f>IF(tblProducts[[#This Row],[Rating]]="","Missing",IF(tblProducts[[#This Row],[Rating]]&lt;3,"Poor",IF(tblProducts[[#This Row],[Rating]]&lt;=4,"Average",IF(tblProducts[[#This Row],[Rating]]&lt;4.5, "Unclassified","Excellent"))))</f>
        <v>Missing</v>
      </c>
    </row>
    <row r="61" spans="1:10" x14ac:dyDescent="0.35">
      <c r="A61" t="s">
        <v>182</v>
      </c>
      <c r="B61" s="5">
        <v>2170</v>
      </c>
      <c r="C61" s="5">
        <v>2500</v>
      </c>
      <c r="D61" s="5" t="str">
        <f>IF(tblProducts[[#This Row],[Current Price]]="","Missing",IF(tblProducts[[#This Row],[Current Price]]&lt;Price_Q1,"Low Price",IF(tblProducts[[#This Row],[Current Price]]&lt;Price_Q3,"Medium Price","High Price")))</f>
        <v>High Price</v>
      </c>
      <c r="E61" s="5">
        <f>tblProducts[[#This Row],[Old Price]]-tblProducts[[#This Row],[Current Price]]</f>
        <v>330</v>
      </c>
      <c r="F61" s="6">
        <v>0.13</v>
      </c>
      <c r="G61" s="6" t="str">
        <f>IF(tblProducts[[#This Row],[Discount]]="","Missing",IF(tblProducts[[#This Row],[Discount]]&lt;20%,"Low Discount",IF(tblProducts[[#This Row],[Discount]]&lt;=40%,"Medium Discount","High Discount")))</f>
        <v>Low Discount</v>
      </c>
      <c r="H61" s="7">
        <v>6</v>
      </c>
      <c r="I61" s="3">
        <v>2.5</v>
      </c>
      <c r="J61" s="3" t="str">
        <f>IF(tblProducts[[#This Row],[Rating]]="","Missing",IF(tblProducts[[#This Row],[Rating]]&lt;3,"Poor",IF(tblProducts[[#This Row],[Rating]]&lt;=4,"Average",IF(tblProducts[[#This Row],[Rating]]&lt;4.5, "Unclassified","Excellent"))))</f>
        <v>Poor</v>
      </c>
    </row>
    <row r="62" spans="1:10" x14ac:dyDescent="0.35">
      <c r="A62" t="s">
        <v>186</v>
      </c>
      <c r="B62" s="5">
        <v>458</v>
      </c>
      <c r="C62" s="5">
        <v>986</v>
      </c>
      <c r="D62" s="5" t="str">
        <f>IF(tblProducts[[#This Row],[Current Price]]="","Missing",IF(tblProducts[[#This Row],[Current Price]]&lt;Price_Q1,"Low Price",IF(tblProducts[[#This Row],[Current Price]]&lt;Price_Q3,"Medium Price","High Price")))</f>
        <v>Low Price</v>
      </c>
      <c r="E62" s="5">
        <f>tblProducts[[#This Row],[Old Price]]-tblProducts[[#This Row],[Current Price]]</f>
        <v>528</v>
      </c>
      <c r="F62" s="6">
        <v>0.54</v>
      </c>
      <c r="G62" s="6" t="str">
        <f>IF(tblProducts[[#This Row],[Discount]]="","Missing",IF(tblProducts[[#This Row],[Discount]]&lt;20%,"Low Discount",IF(tblProducts[[#This Row],[Discount]]&lt;=40%,"Medium Discount","High Discount")))</f>
        <v>High Discount</v>
      </c>
      <c r="H62" s="7">
        <v>10</v>
      </c>
      <c r="I62" s="3">
        <v>3</v>
      </c>
      <c r="J62" s="3" t="str">
        <f>IF(tblProducts[[#This Row],[Rating]]="","Missing",IF(tblProducts[[#This Row],[Rating]]&lt;3,"Poor",IF(tblProducts[[#This Row],[Rating]]&lt;=4,"Average",IF(tblProducts[[#This Row],[Rating]]&lt;4.5, "Unclassified","Excellent"))))</f>
        <v>Average</v>
      </c>
    </row>
    <row r="63" spans="1:10" x14ac:dyDescent="0.35">
      <c r="A63" t="s">
        <v>190</v>
      </c>
      <c r="B63" s="5">
        <v>2115</v>
      </c>
      <c r="C63" s="5">
        <v>4700</v>
      </c>
      <c r="D63" s="5" t="str">
        <f>IF(tblProducts[[#This Row],[Current Price]]="","Missing",IF(tblProducts[[#This Row],[Current Price]]&lt;Price_Q1,"Low Price",IF(tblProducts[[#This Row],[Current Price]]&lt;Price_Q3,"Medium Price","High Price")))</f>
        <v>High Price</v>
      </c>
      <c r="E63" s="5">
        <f>tblProducts[[#This Row],[Old Price]]-tblProducts[[#This Row],[Current Price]]</f>
        <v>2585</v>
      </c>
      <c r="F63" s="6">
        <v>0.55000000000000004</v>
      </c>
      <c r="G63" s="6" t="str">
        <f>IF(tblProducts[[#This Row],[Discount]]="","Missing",IF(tblProducts[[#This Row],[Discount]]&lt;20%,"Low Discount",IF(tblProducts[[#This Row],[Discount]]&lt;=40%,"Medium Discount","High Discount")))</f>
        <v>High Discount</v>
      </c>
      <c r="H63" s="7">
        <v>13</v>
      </c>
      <c r="I63" s="3">
        <v>2.1</v>
      </c>
      <c r="J63" s="3" t="str">
        <f>IF(tblProducts[[#This Row],[Rating]]="","Missing",IF(tblProducts[[#This Row],[Rating]]&lt;3,"Poor",IF(tblProducts[[#This Row],[Rating]]&lt;=4,"Average",IF(tblProducts[[#This Row],[Rating]]&lt;4.5, "Unclassified","Excellent"))))</f>
        <v>Poor</v>
      </c>
    </row>
    <row r="64" spans="1:10" x14ac:dyDescent="0.35">
      <c r="A64" t="s">
        <v>194</v>
      </c>
      <c r="B64" s="5">
        <v>445</v>
      </c>
      <c r="C64" s="5">
        <v>873</v>
      </c>
      <c r="D64" s="5" t="str">
        <f>IF(tblProducts[[#This Row],[Current Price]]="","Missing",IF(tblProducts[[#This Row],[Current Price]]&lt;Price_Q1,"Low Price",IF(tblProducts[[#This Row],[Current Price]]&lt;Price_Q3,"Medium Price","High Price")))</f>
        <v>Low Price</v>
      </c>
      <c r="E64" s="5">
        <f>tblProducts[[#This Row],[Old Price]]-tblProducts[[#This Row],[Current Price]]</f>
        <v>428</v>
      </c>
      <c r="F64" s="6">
        <v>0.49</v>
      </c>
      <c r="G64" s="6" t="str">
        <f>IF(tblProducts[[#This Row],[Discount]]="","Missing",IF(tblProducts[[#This Row],[Discount]]&lt;20%,"Low Discount",IF(tblProducts[[#This Row],[Discount]]&lt;=40%,"Medium Discount","High Discount")))</f>
        <v>High Discount</v>
      </c>
      <c r="H64" s="7">
        <v>69</v>
      </c>
      <c r="I64" s="3">
        <v>2.8</v>
      </c>
      <c r="J64" s="3" t="str">
        <f>IF(tblProducts[[#This Row],[Rating]]="","Missing",IF(tblProducts[[#This Row],[Rating]]&lt;3,"Poor",IF(tblProducts[[#This Row],[Rating]]&lt;=4,"Average",IF(tblProducts[[#This Row],[Rating]]&lt;4.5, "Unclassified","Excellent"))))</f>
        <v>Poor</v>
      </c>
    </row>
    <row r="65" spans="1:10" x14ac:dyDescent="0.35">
      <c r="A65" t="s">
        <v>365</v>
      </c>
      <c r="B65" s="5">
        <v>325</v>
      </c>
      <c r="C65" s="5">
        <v>680</v>
      </c>
      <c r="D65" s="5" t="str">
        <f>IF(tblProducts[[#This Row],[Current Price]]="","Missing",IF(tblProducts[[#This Row],[Current Price]]&lt;Price_Q1,"Low Price",IF(tblProducts[[#This Row],[Current Price]]&lt;Price_Q3,"Medium Price","High Price")))</f>
        <v>Low Price</v>
      </c>
      <c r="E65" s="5">
        <f>tblProducts[[#This Row],[Old Price]]-tblProducts[[#This Row],[Current Price]]</f>
        <v>355</v>
      </c>
      <c r="F65" s="6">
        <v>0.52</v>
      </c>
      <c r="G65" s="6" t="str">
        <f>IF(tblProducts[[#This Row],[Discount]]="","Missing",IF(tblProducts[[#This Row],[Discount]]&lt;20%,"Low Discount",IF(tblProducts[[#This Row],[Discount]]&lt;=40%,"Medium Discount","High Discount")))</f>
        <v>High Discount</v>
      </c>
      <c r="H65" s="7">
        <v>15</v>
      </c>
      <c r="I65" s="3">
        <v>2.7</v>
      </c>
      <c r="J65" s="3" t="str">
        <f>IF(tblProducts[[#This Row],[Rating]]="","Missing",IF(tblProducts[[#This Row],[Rating]]&lt;3,"Poor",IF(tblProducts[[#This Row],[Rating]]&lt;=4,"Average",IF(tblProducts[[#This Row],[Rating]]&lt;4.5, "Unclassified","Excellent"))))</f>
        <v>Poor</v>
      </c>
    </row>
    <row r="66" spans="1:10" x14ac:dyDescent="0.35">
      <c r="A66" t="s">
        <v>202</v>
      </c>
      <c r="B66" s="5">
        <v>1220</v>
      </c>
      <c r="C66" s="5">
        <v>1555</v>
      </c>
      <c r="D66" s="5" t="str">
        <f>IF(tblProducts[[#This Row],[Current Price]]="","Missing",IF(tblProducts[[#This Row],[Current Price]]&lt;Price_Q1,"Low Price",IF(tblProducts[[#This Row],[Current Price]]&lt;Price_Q3,"Medium Price","High Price")))</f>
        <v>Medium Price</v>
      </c>
      <c r="E66" s="5">
        <f>tblProducts[[#This Row],[Old Price]]-tblProducts[[#This Row],[Current Price]]</f>
        <v>335</v>
      </c>
      <c r="F66" s="6">
        <v>0.22</v>
      </c>
      <c r="G66" s="6" t="str">
        <f>IF(tblProducts[[#This Row],[Discount]]="","Missing",IF(tblProducts[[#This Row],[Discount]]&lt;20%,"Low Discount",IF(tblProducts[[#This Row],[Discount]]&lt;=40%,"Medium Discount","High Discount")))</f>
        <v>Medium Discount</v>
      </c>
      <c r="H66" s="7">
        <v>16</v>
      </c>
      <c r="I66" s="3">
        <v>2.9</v>
      </c>
      <c r="J66" s="3" t="str">
        <f>IF(tblProducts[[#This Row],[Rating]]="","Missing",IF(tblProducts[[#This Row],[Rating]]&lt;3,"Poor",IF(tblProducts[[#This Row],[Rating]]&lt;=4,"Average",IF(tblProducts[[#This Row],[Rating]]&lt;4.5, "Unclassified","Excellent"))))</f>
        <v>Poor</v>
      </c>
    </row>
    <row r="67" spans="1:10" x14ac:dyDescent="0.35">
      <c r="A67" t="s">
        <v>206</v>
      </c>
      <c r="B67" s="5">
        <v>990</v>
      </c>
      <c r="C67" s="5">
        <v>1814</v>
      </c>
      <c r="D67" s="5" t="str">
        <f>IF(tblProducts[[#This Row],[Current Price]]="","Missing",IF(tblProducts[[#This Row],[Current Price]]&lt;Price_Q1,"Low Price",IF(tblProducts[[#This Row],[Current Price]]&lt;Price_Q3,"Medium Price","High Price")))</f>
        <v>Medium Price</v>
      </c>
      <c r="E67" s="5">
        <f>tblProducts[[#This Row],[Old Price]]-tblProducts[[#This Row],[Current Price]]</f>
        <v>824</v>
      </c>
      <c r="F67" s="6">
        <v>0.45</v>
      </c>
      <c r="G67" s="6" t="str">
        <f>IF(tblProducts[[#This Row],[Discount]]="","Missing",IF(tblProducts[[#This Row],[Discount]]&lt;20%,"Low Discount",IF(tblProducts[[#This Row],[Discount]]&lt;=40%,"Medium Discount","High Discount")))</f>
        <v>High Discount</v>
      </c>
      <c r="H67" s="7">
        <v>6</v>
      </c>
      <c r="I67" s="3">
        <v>2.2000000000000002</v>
      </c>
      <c r="J67" s="3" t="str">
        <f>IF(tblProducts[[#This Row],[Rating]]="","Missing",IF(tblProducts[[#This Row],[Rating]]&lt;3,"Poor",IF(tblProducts[[#This Row],[Rating]]&lt;=4,"Average",IF(tblProducts[[#This Row],[Rating]]&lt;4.5, "Unclassified","Excellent"))))</f>
        <v>Poor</v>
      </c>
    </row>
    <row r="68" spans="1:10" x14ac:dyDescent="0.35">
      <c r="A68" t="s">
        <v>209</v>
      </c>
      <c r="B68" s="5">
        <v>1000</v>
      </c>
      <c r="C68" s="5">
        <v>2000</v>
      </c>
      <c r="D68" s="5" t="str">
        <f>IF(tblProducts[[#This Row],[Current Price]]="","Missing",IF(tblProducts[[#This Row],[Current Price]]&lt;Price_Q1,"Low Price",IF(tblProducts[[#This Row],[Current Price]]&lt;Price_Q3,"Medium Price","High Price")))</f>
        <v>Medium Price</v>
      </c>
      <c r="E68" s="5">
        <f>tblProducts[[#This Row],[Old Price]]-tblProducts[[#This Row],[Current Price]]</f>
        <v>1000</v>
      </c>
      <c r="F68" s="6">
        <v>0.5</v>
      </c>
      <c r="G68" s="6" t="str">
        <f>IF(tblProducts[[#This Row],[Discount]]="","Missing",IF(tblProducts[[#This Row],[Discount]]&lt;20%,"Low Discount",IF(tblProducts[[#This Row],[Discount]]&lt;=40%,"Medium Discount","High Discount")))</f>
        <v>High Discount</v>
      </c>
      <c r="H68" s="7">
        <v>7</v>
      </c>
      <c r="I68" s="3">
        <v>2.2999999999999998</v>
      </c>
      <c r="J68" s="3" t="str">
        <f>IF(tblProducts[[#This Row],[Rating]]="","Missing",IF(tblProducts[[#This Row],[Rating]]&lt;3,"Poor",IF(tblProducts[[#This Row],[Rating]]&lt;=4,"Average",IF(tblProducts[[#This Row],[Rating]]&lt;4.5, "Unclassified","Excellent"))))</f>
        <v>Poor</v>
      </c>
    </row>
    <row r="69" spans="1:10" x14ac:dyDescent="0.35">
      <c r="A69" t="s">
        <v>212</v>
      </c>
      <c r="B69" s="5">
        <v>3750</v>
      </c>
      <c r="C69" s="5">
        <v>6143</v>
      </c>
      <c r="D69" s="5" t="str">
        <f>IF(tblProducts[[#This Row],[Current Price]]="","Missing",IF(tblProducts[[#This Row],[Current Price]]&lt;Price_Q1,"Low Price",IF(tblProducts[[#This Row],[Current Price]]&lt;Price_Q3,"Medium Price","High Price")))</f>
        <v>High Price</v>
      </c>
      <c r="E69" s="5">
        <f>tblProducts[[#This Row],[Old Price]]-tblProducts[[#This Row],[Current Price]]</f>
        <v>2393</v>
      </c>
      <c r="F69" s="6">
        <v>0.39</v>
      </c>
      <c r="G69" s="6" t="str">
        <f>IF(tblProducts[[#This Row],[Discount]]="","Missing",IF(tblProducts[[#This Row],[Discount]]&lt;20%,"Low Discount",IF(tblProducts[[#This Row],[Discount]]&lt;=40%,"Medium Discount","High Discount")))</f>
        <v>Medium Discount</v>
      </c>
      <c r="H69" s="7">
        <v>5</v>
      </c>
      <c r="I69" s="3">
        <v>3</v>
      </c>
      <c r="J69" s="3" t="str">
        <f>IF(tblProducts[[#This Row],[Rating]]="","Missing",IF(tblProducts[[#This Row],[Rating]]&lt;3,"Poor",IF(tblProducts[[#This Row],[Rating]]&lt;=4,"Average",IF(tblProducts[[#This Row],[Rating]]&lt;4.5, "Unclassified","Excellent"))))</f>
        <v>Average</v>
      </c>
    </row>
    <row r="70" spans="1:10" x14ac:dyDescent="0.35">
      <c r="A70" t="s">
        <v>215</v>
      </c>
      <c r="B70" s="5">
        <v>382</v>
      </c>
      <c r="C70" s="5">
        <v>700</v>
      </c>
      <c r="D70" s="5" t="str">
        <f>IF(tblProducts[[#This Row],[Current Price]]="","Missing",IF(tblProducts[[#This Row],[Current Price]]&lt;Price_Q1,"Low Price",IF(tblProducts[[#This Row],[Current Price]]&lt;Price_Q3,"Medium Price","High Price")))</f>
        <v>Low Price</v>
      </c>
      <c r="E70" s="5">
        <f>tblProducts[[#This Row],[Old Price]]-tblProducts[[#This Row],[Current Price]]</f>
        <v>318</v>
      </c>
      <c r="F70" s="6">
        <v>0.45</v>
      </c>
      <c r="G70" s="6" t="str">
        <f>IF(tblProducts[[#This Row],[Discount]]="","Missing",IF(tblProducts[[#This Row],[Discount]]&lt;20%,"Low Discount",IF(tblProducts[[#This Row],[Discount]]&lt;=40%,"Medium Discount","High Discount")))</f>
        <v>High Discount</v>
      </c>
      <c r="H70" s="7">
        <v>17</v>
      </c>
      <c r="I70" s="3">
        <v>2.6</v>
      </c>
      <c r="J70" s="3" t="str">
        <f>IF(tblProducts[[#This Row],[Rating]]="","Missing",IF(tblProducts[[#This Row],[Rating]]&lt;3,"Poor",IF(tblProducts[[#This Row],[Rating]]&lt;=4,"Average",IF(tblProducts[[#This Row],[Rating]]&lt;4.5, "Unclassified","Excellent"))))</f>
        <v>Poor</v>
      </c>
    </row>
    <row r="71" spans="1:10" x14ac:dyDescent="0.35">
      <c r="A71" t="s">
        <v>218</v>
      </c>
      <c r="B71" s="5">
        <v>2300</v>
      </c>
      <c r="C71" s="5">
        <v>3240</v>
      </c>
      <c r="D71" s="5" t="str">
        <f>IF(tblProducts[[#This Row],[Current Price]]="","Missing",IF(tblProducts[[#This Row],[Current Price]]&lt;Price_Q1,"Low Price",IF(tblProducts[[#This Row],[Current Price]]&lt;Price_Q3,"Medium Price","High Price")))</f>
        <v>High Price</v>
      </c>
      <c r="E71" s="5">
        <f>tblProducts[[#This Row],[Old Price]]-tblProducts[[#This Row],[Current Price]]</f>
        <v>940</v>
      </c>
      <c r="F71" s="6">
        <v>0.28999999999999998</v>
      </c>
      <c r="G71" s="6" t="str">
        <f>IF(tblProducts[[#This Row],[Discount]]="","Missing",IF(tblProducts[[#This Row],[Discount]]&lt;20%,"Low Discount",IF(tblProducts[[#This Row],[Discount]]&lt;=40%,"Medium Discount","High Discount")))</f>
        <v>Medium Discount</v>
      </c>
      <c r="H71" s="7">
        <v>5</v>
      </c>
      <c r="I71" s="3">
        <v>3</v>
      </c>
      <c r="J71" s="3" t="str">
        <f>IF(tblProducts[[#This Row],[Rating]]="","Missing",IF(tblProducts[[#This Row],[Rating]]&lt;3,"Poor",IF(tblProducts[[#This Row],[Rating]]&lt;=4,"Average",IF(tblProducts[[#This Row],[Rating]]&lt;4.5, "Unclassified","Excellent"))))</f>
        <v>Average</v>
      </c>
    </row>
    <row r="72" spans="1:10" x14ac:dyDescent="0.35">
      <c r="A72" t="s">
        <v>221</v>
      </c>
      <c r="B72" s="5">
        <v>345</v>
      </c>
      <c r="C72" s="5">
        <v>602</v>
      </c>
      <c r="D72" s="5" t="str">
        <f>IF(tblProducts[[#This Row],[Current Price]]="","Missing",IF(tblProducts[[#This Row],[Current Price]]&lt;Price_Q1,"Low Price",IF(tblProducts[[#This Row],[Current Price]]&lt;Price_Q3,"Medium Price","High Price")))</f>
        <v>Low Price</v>
      </c>
      <c r="E72" s="5">
        <f>tblProducts[[#This Row],[Old Price]]-tblProducts[[#This Row],[Current Price]]</f>
        <v>257</v>
      </c>
      <c r="F72" s="6">
        <v>0.43</v>
      </c>
      <c r="G72" s="6" t="str">
        <f>IF(tblProducts[[#This Row],[Discount]]="","Missing",IF(tblProducts[[#This Row],[Discount]]&lt;20%,"Low Discount",IF(tblProducts[[#This Row],[Discount]]&lt;=40%,"Medium Discount","High Discount")))</f>
        <v>High Discount</v>
      </c>
      <c r="H72" s="7">
        <v>6</v>
      </c>
      <c r="I72" s="3">
        <v>2.2999999999999998</v>
      </c>
      <c r="J72" s="3" t="str">
        <f>IF(tblProducts[[#This Row],[Rating]]="","Missing",IF(tblProducts[[#This Row],[Rating]]&lt;3,"Poor",IF(tblProducts[[#This Row],[Rating]]&lt;=4,"Average",IF(tblProducts[[#This Row],[Rating]]&lt;4.5, "Unclassified","Excellent"))))</f>
        <v>Poor</v>
      </c>
    </row>
    <row r="73" spans="1:10" x14ac:dyDescent="0.35">
      <c r="A73" t="s">
        <v>224</v>
      </c>
      <c r="B73" s="5">
        <v>509</v>
      </c>
      <c r="C73" s="5">
        <v>899</v>
      </c>
      <c r="D73" s="5" t="str">
        <f>IF(tblProducts[[#This Row],[Current Price]]="","Missing",IF(tblProducts[[#This Row],[Current Price]]&lt;Price_Q1,"Low Price",IF(tblProducts[[#This Row],[Current Price]]&lt;Price_Q3,"Medium Price","High Price")))</f>
        <v>Medium Price</v>
      </c>
      <c r="E73" s="5">
        <f>tblProducts[[#This Row],[Old Price]]-tblProducts[[#This Row],[Current Price]]</f>
        <v>390</v>
      </c>
      <c r="F73" s="6">
        <v>0.43</v>
      </c>
      <c r="G73" s="6" t="str">
        <f>IF(tblProducts[[#This Row],[Discount]]="","Missing",IF(tblProducts[[#This Row],[Discount]]&lt;20%,"Low Discount",IF(tblProducts[[#This Row],[Discount]]&lt;=40%,"Medium Discount","High Discount")))</f>
        <v>High Discount</v>
      </c>
      <c r="H73" s="7">
        <v>5</v>
      </c>
      <c r="I73" s="3">
        <v>3</v>
      </c>
      <c r="J73" s="3" t="str">
        <f>IF(tblProducts[[#This Row],[Rating]]="","Missing",IF(tblProducts[[#This Row],[Rating]]&lt;3,"Poor",IF(tblProducts[[#This Row],[Rating]]&lt;=4,"Average",IF(tblProducts[[#This Row],[Rating]]&lt;4.5, "Unclassified","Excellent"))))</f>
        <v>Average</v>
      </c>
    </row>
    <row r="74" spans="1:10" x14ac:dyDescent="0.35">
      <c r="A74" t="s">
        <v>227</v>
      </c>
      <c r="B74" s="5">
        <v>968</v>
      </c>
      <c r="C74" s="5">
        <v>1814</v>
      </c>
      <c r="D74" s="5" t="str">
        <f>IF(tblProducts[[#This Row],[Current Price]]="","Missing",IF(tblProducts[[#This Row],[Current Price]]&lt;Price_Q1,"Low Price",IF(tblProducts[[#This Row],[Current Price]]&lt;Price_Q3,"Medium Price","High Price")))</f>
        <v>Medium Price</v>
      </c>
      <c r="E74" s="5">
        <f>tblProducts[[#This Row],[Old Price]]-tblProducts[[#This Row],[Current Price]]</f>
        <v>846</v>
      </c>
      <c r="F74" s="6">
        <v>0.47</v>
      </c>
      <c r="G74" s="6" t="str">
        <f>IF(tblProducts[[#This Row],[Discount]]="","Missing",IF(tblProducts[[#This Row],[Discount]]&lt;20%,"Low Discount",IF(tblProducts[[#This Row],[Discount]]&lt;=40%,"Medium Discount","High Discount")))</f>
        <v>High Discount</v>
      </c>
      <c r="H74" s="7">
        <v>6</v>
      </c>
      <c r="I74" s="3">
        <v>2.2000000000000002</v>
      </c>
      <c r="J74" s="3" t="str">
        <f>IF(tblProducts[[#This Row],[Rating]]="","Missing",IF(tblProducts[[#This Row],[Rating]]&lt;3,"Poor",IF(tblProducts[[#This Row],[Rating]]&lt;=4,"Average",IF(tblProducts[[#This Row],[Rating]]&lt;4.5, "Unclassified","Excellent"))))</f>
        <v>Poor</v>
      </c>
    </row>
    <row r="75" spans="1:10" x14ac:dyDescent="0.35">
      <c r="A75" t="s">
        <v>229</v>
      </c>
      <c r="B75" s="5">
        <v>1570</v>
      </c>
      <c r="C75" s="5">
        <v>2988</v>
      </c>
      <c r="D75" s="5" t="str">
        <f>IF(tblProducts[[#This Row],[Current Price]]="","Missing",IF(tblProducts[[#This Row],[Current Price]]&lt;Price_Q1,"Low Price",IF(tblProducts[[#This Row],[Current Price]]&lt;Price_Q3,"Medium Price","High Price")))</f>
        <v>Medium Price</v>
      </c>
      <c r="E75" s="5">
        <f>tblProducts[[#This Row],[Old Price]]-tblProducts[[#This Row],[Current Price]]</f>
        <v>1418</v>
      </c>
      <c r="F75" s="6">
        <v>0.47</v>
      </c>
      <c r="G75" s="6" t="str">
        <f>IF(tblProducts[[#This Row],[Discount]]="","Missing",IF(tblProducts[[#This Row],[Discount]]&lt;20%,"Low Discount",IF(tblProducts[[#This Row],[Discount]]&lt;=40%,"Medium Discount","High Discount")))</f>
        <v>High Discount</v>
      </c>
      <c r="H75" s="7">
        <v>7</v>
      </c>
      <c r="I75" s="3">
        <v>2.1</v>
      </c>
      <c r="J75" s="3" t="str">
        <f>IF(tblProducts[[#This Row],[Rating]]="","Missing",IF(tblProducts[[#This Row],[Rating]]&lt;3,"Poor",IF(tblProducts[[#This Row],[Rating]]&lt;=4,"Average",IF(tblProducts[[#This Row],[Rating]]&lt;4.5, "Unclassified","Excellent"))))</f>
        <v>Poor</v>
      </c>
    </row>
    <row r="76" spans="1:10" x14ac:dyDescent="0.35">
      <c r="A76" t="s">
        <v>232</v>
      </c>
      <c r="B76" s="5">
        <v>790</v>
      </c>
      <c r="C76" s="5">
        <v>1485</v>
      </c>
      <c r="D76" s="5" t="str">
        <f>IF(tblProducts[[#This Row],[Current Price]]="","Missing",IF(tblProducts[[#This Row],[Current Price]]&lt;Price_Q1,"Low Price",IF(tblProducts[[#This Row],[Current Price]]&lt;Price_Q3,"Medium Price","High Price")))</f>
        <v>Medium Price</v>
      </c>
      <c r="E76" s="5">
        <f>tblProducts[[#This Row],[Old Price]]-tblProducts[[#This Row],[Current Price]]</f>
        <v>695</v>
      </c>
      <c r="F76" s="6">
        <v>0.47</v>
      </c>
      <c r="G76" s="6" t="str">
        <f>IF(tblProducts[[#This Row],[Discount]]="","Missing",IF(tblProducts[[#This Row],[Discount]]&lt;20%,"Low Discount",IF(tblProducts[[#This Row],[Discount]]&lt;=40%,"Medium Discount","High Discount")))</f>
        <v>High Discount</v>
      </c>
      <c r="H76" s="7" t="s">
        <v>341</v>
      </c>
      <c r="I76" s="3"/>
      <c r="J76" s="3" t="str">
        <f>IF(tblProducts[[#This Row],[Rating]]="","Missing",IF(tblProducts[[#This Row],[Rating]]&lt;3,"Poor",IF(tblProducts[[#This Row],[Rating]]&lt;=4,"Average",IF(tblProducts[[#This Row],[Rating]]&lt;4.5, "Unclassified","Excellent"))))</f>
        <v>Missing</v>
      </c>
    </row>
    <row r="77" spans="1:10" x14ac:dyDescent="0.35">
      <c r="A77" t="s">
        <v>235</v>
      </c>
      <c r="B77" s="5">
        <v>690</v>
      </c>
      <c r="C77" s="5">
        <v>1200</v>
      </c>
      <c r="D77" s="5" t="str">
        <f>IF(tblProducts[[#This Row],[Current Price]]="","Missing",IF(tblProducts[[#This Row],[Current Price]]&lt;Price_Q1,"Low Price",IF(tblProducts[[#This Row],[Current Price]]&lt;Price_Q3,"Medium Price","High Price")))</f>
        <v>Medium Price</v>
      </c>
      <c r="E77" s="5">
        <f>tblProducts[[#This Row],[Old Price]]-tblProducts[[#This Row],[Current Price]]</f>
        <v>510</v>
      </c>
      <c r="F77" s="6">
        <v>0.43</v>
      </c>
      <c r="G77" s="6" t="str">
        <f>IF(tblProducts[[#This Row],[Discount]]="","Missing",IF(tblProducts[[#This Row],[Discount]]&lt;20%,"Low Discount",IF(tblProducts[[#This Row],[Discount]]&lt;=40%,"Medium Discount","High Discount")))</f>
        <v>High Discount</v>
      </c>
      <c r="H77" s="7" t="s">
        <v>341</v>
      </c>
      <c r="I77" s="3"/>
      <c r="J77" s="3" t="str">
        <f>IF(tblProducts[[#This Row],[Rating]]="","Missing",IF(tblProducts[[#This Row],[Rating]]&lt;3,"Poor",IF(tblProducts[[#This Row],[Rating]]&lt;=4,"Average",IF(tblProducts[[#This Row],[Rating]]&lt;4.5, "Unclassified","Excellent"))))</f>
        <v>Missing</v>
      </c>
    </row>
    <row r="78" spans="1:10" x14ac:dyDescent="0.35">
      <c r="A78" t="s">
        <v>237</v>
      </c>
      <c r="B78" s="5">
        <v>1732</v>
      </c>
      <c r="C78" s="5">
        <v>1799</v>
      </c>
      <c r="D78" s="5" t="str">
        <f>IF(tblProducts[[#This Row],[Current Price]]="","Missing",IF(tblProducts[[#This Row],[Current Price]]&lt;Price_Q1,"Low Price",IF(tblProducts[[#This Row],[Current Price]]&lt;Price_Q3,"Medium Price","High Price")))</f>
        <v>High Price</v>
      </c>
      <c r="E78" s="5">
        <f>tblProducts[[#This Row],[Old Price]]-tblProducts[[#This Row],[Current Price]]</f>
        <v>67</v>
      </c>
      <c r="F78" s="6">
        <v>0.04</v>
      </c>
      <c r="G78" s="6" t="str">
        <f>IF(tblProducts[[#This Row],[Discount]]="","Missing",IF(tblProducts[[#This Row],[Discount]]&lt;20%,"Low Discount",IF(tblProducts[[#This Row],[Discount]]&lt;=40%,"Medium Discount","High Discount")))</f>
        <v>Low Discount</v>
      </c>
      <c r="H78" s="7" t="s">
        <v>341</v>
      </c>
      <c r="I78" s="3"/>
      <c r="J78" s="3" t="str">
        <f>IF(tblProducts[[#This Row],[Rating]]="","Missing",IF(tblProducts[[#This Row],[Rating]]&lt;3,"Poor",IF(tblProducts[[#This Row],[Rating]]&lt;=4,"Average",IF(tblProducts[[#This Row],[Rating]]&lt;4.5, "Unclassified","Excellent"))))</f>
        <v>Missing</v>
      </c>
    </row>
    <row r="79" spans="1:10" x14ac:dyDescent="0.35">
      <c r="A79" t="s">
        <v>240</v>
      </c>
      <c r="B79" s="5">
        <v>230</v>
      </c>
      <c r="C79" s="5">
        <v>450</v>
      </c>
      <c r="D79" s="5" t="str">
        <f>IF(tblProducts[[#This Row],[Current Price]]="","Missing",IF(tblProducts[[#This Row],[Current Price]]&lt;Price_Q1,"Low Price",IF(tblProducts[[#This Row],[Current Price]]&lt;Price_Q3,"Medium Price","High Price")))</f>
        <v>Low Price</v>
      </c>
      <c r="E79" s="5">
        <f>tblProducts[[#This Row],[Old Price]]-tblProducts[[#This Row],[Current Price]]</f>
        <v>220</v>
      </c>
      <c r="F79" s="6">
        <v>0.49</v>
      </c>
      <c r="G79" s="6" t="str">
        <f>IF(tblProducts[[#This Row],[Discount]]="","Missing",IF(tblProducts[[#This Row],[Discount]]&lt;20%,"Low Discount",IF(tblProducts[[#This Row],[Discount]]&lt;=40%,"Medium Discount","High Discount")))</f>
        <v>High Discount</v>
      </c>
      <c r="H79" s="7" t="s">
        <v>341</v>
      </c>
      <c r="I79" s="3"/>
      <c r="J79" s="3" t="str">
        <f>IF(tblProducts[[#This Row],[Rating]]="","Missing",IF(tblProducts[[#This Row],[Rating]]&lt;3,"Poor",IF(tblProducts[[#This Row],[Rating]]&lt;=4,"Average",IF(tblProducts[[#This Row],[Rating]]&lt;4.5, "Unclassified","Excellent"))))</f>
        <v>Missing</v>
      </c>
    </row>
    <row r="80" spans="1:10" x14ac:dyDescent="0.35">
      <c r="A80" t="s">
        <v>243</v>
      </c>
      <c r="B80" s="5">
        <v>1189</v>
      </c>
      <c r="C80" s="5">
        <v>2199</v>
      </c>
      <c r="D80" s="5" t="str">
        <f>IF(tblProducts[[#This Row],[Current Price]]="","Missing",IF(tblProducts[[#This Row],[Current Price]]&lt;Price_Q1,"Low Price",IF(tblProducts[[#This Row],[Current Price]]&lt;Price_Q3,"Medium Price","High Price")))</f>
        <v>Medium Price</v>
      </c>
      <c r="E80" s="5">
        <f>tblProducts[[#This Row],[Old Price]]-tblProducts[[#This Row],[Current Price]]</f>
        <v>1010</v>
      </c>
      <c r="F80" s="6">
        <v>0.46</v>
      </c>
      <c r="G80" s="6" t="str">
        <f>IF(tblProducts[[#This Row],[Discount]]="","Missing",IF(tblProducts[[#This Row],[Discount]]&lt;20%,"Low Discount",IF(tblProducts[[#This Row],[Discount]]&lt;=40%,"Medium Discount","High Discount")))</f>
        <v>High Discount</v>
      </c>
      <c r="H80" s="7">
        <v>1</v>
      </c>
      <c r="I80" s="3">
        <v>3</v>
      </c>
      <c r="J80" s="3" t="str">
        <f>IF(tblProducts[[#This Row],[Rating]]="","Missing",IF(tblProducts[[#This Row],[Rating]]&lt;3,"Poor",IF(tblProducts[[#This Row],[Rating]]&lt;=4,"Average",IF(tblProducts[[#This Row],[Rating]]&lt;4.5, "Unclassified","Excellent"))))</f>
        <v>Average</v>
      </c>
    </row>
    <row r="81" spans="1:10" x14ac:dyDescent="0.35">
      <c r="A81" t="s">
        <v>245</v>
      </c>
      <c r="B81" s="5">
        <v>979</v>
      </c>
      <c r="C81" s="5">
        <v>1920</v>
      </c>
      <c r="D81" s="5" t="str">
        <f>IF(tblProducts[[#This Row],[Current Price]]="","Missing",IF(tblProducts[[#This Row],[Current Price]]&lt;Price_Q1,"Low Price",IF(tblProducts[[#This Row],[Current Price]]&lt;Price_Q3,"Medium Price","High Price")))</f>
        <v>Medium Price</v>
      </c>
      <c r="E81" s="5">
        <f>tblProducts[[#This Row],[Old Price]]-tblProducts[[#This Row],[Current Price]]</f>
        <v>941</v>
      </c>
      <c r="F81" s="6">
        <v>0.49</v>
      </c>
      <c r="G81" s="6" t="str">
        <f>IF(tblProducts[[#This Row],[Discount]]="","Missing",IF(tblProducts[[#This Row],[Discount]]&lt;20%,"Low Discount",IF(tblProducts[[#This Row],[Discount]]&lt;=40%,"Medium Discount","High Discount")))</f>
        <v>High Discount</v>
      </c>
      <c r="H81" s="7">
        <v>1</v>
      </c>
      <c r="I81" s="3">
        <v>5</v>
      </c>
      <c r="J81" s="3" t="str">
        <f>IF(tblProducts[[#This Row],[Rating]]="","Missing",IF(tblProducts[[#This Row],[Rating]]&lt;3,"Poor",IF(tblProducts[[#This Row],[Rating]]&lt;=4,"Average",IF(tblProducts[[#This Row],[Rating]]&lt;4.5, "Unclassified","Excellent"))))</f>
        <v>Excellent</v>
      </c>
    </row>
    <row r="82" spans="1:10" x14ac:dyDescent="0.35">
      <c r="A82" t="s">
        <v>248</v>
      </c>
      <c r="B82" s="5">
        <v>1460</v>
      </c>
      <c r="C82" s="5">
        <v>2290</v>
      </c>
      <c r="D82" s="5" t="str">
        <f>IF(tblProducts[[#This Row],[Current Price]]="","Missing",IF(tblProducts[[#This Row],[Current Price]]&lt;Price_Q1,"Low Price",IF(tblProducts[[#This Row],[Current Price]]&lt;Price_Q3,"Medium Price","High Price")))</f>
        <v>Medium Price</v>
      </c>
      <c r="E82" s="5">
        <f>tblProducts[[#This Row],[Old Price]]-tblProducts[[#This Row],[Current Price]]</f>
        <v>830</v>
      </c>
      <c r="F82" s="6">
        <v>0.36</v>
      </c>
      <c r="G82" s="6" t="str">
        <f>IF(tblProducts[[#This Row],[Discount]]="","Missing",IF(tblProducts[[#This Row],[Discount]]&lt;20%,"Low Discount",IF(tblProducts[[#This Row],[Discount]]&lt;=40%,"Medium Discount","High Discount")))</f>
        <v>Medium Discount</v>
      </c>
      <c r="H82" s="7" t="s">
        <v>341</v>
      </c>
      <c r="I82" s="3"/>
      <c r="J82" s="3" t="str">
        <f>IF(tblProducts[[#This Row],[Rating]]="","Missing",IF(tblProducts[[#This Row],[Rating]]&lt;3,"Poor",IF(tblProducts[[#This Row],[Rating]]&lt;=4,"Average",IF(tblProducts[[#This Row],[Rating]]&lt;4.5, "Unclassified","Excellent"))))</f>
        <v>Missing</v>
      </c>
    </row>
    <row r="83" spans="1:10" x14ac:dyDescent="0.35">
      <c r="A83" t="s">
        <v>251</v>
      </c>
      <c r="B83" s="5">
        <v>1666</v>
      </c>
      <c r="C83" s="5">
        <v>1699</v>
      </c>
      <c r="D83" s="5" t="str">
        <f>IF(tblProducts[[#This Row],[Current Price]]="","Missing",IF(tblProducts[[#This Row],[Current Price]]&lt;Price_Q1,"Low Price",IF(tblProducts[[#This Row],[Current Price]]&lt;Price_Q3,"Medium Price","High Price")))</f>
        <v>Medium Price</v>
      </c>
      <c r="E83" s="5">
        <f>tblProducts[[#This Row],[Old Price]]-tblProducts[[#This Row],[Current Price]]</f>
        <v>33</v>
      </c>
      <c r="F83" s="6">
        <v>0.02</v>
      </c>
      <c r="G83" s="6" t="str">
        <f>IF(tblProducts[[#This Row],[Discount]]="","Missing",IF(tblProducts[[#This Row],[Discount]]&lt;20%,"Low Discount",IF(tblProducts[[#This Row],[Discount]]&lt;=40%,"Medium Discount","High Discount")))</f>
        <v>Low Discount</v>
      </c>
      <c r="H83" s="7" t="s">
        <v>341</v>
      </c>
      <c r="I83" s="3"/>
      <c r="J83" s="3" t="str">
        <f>IF(tblProducts[[#This Row],[Rating]]="","Missing",IF(tblProducts[[#This Row],[Rating]]&lt;3,"Poor",IF(tblProducts[[#This Row],[Rating]]&lt;=4,"Average",IF(tblProducts[[#This Row],[Rating]]&lt;4.5, "Unclassified","Excellent"))))</f>
        <v>Missing</v>
      </c>
    </row>
    <row r="84" spans="1:10" x14ac:dyDescent="0.35">
      <c r="A84" t="s">
        <v>253</v>
      </c>
      <c r="B84" s="5">
        <v>330</v>
      </c>
      <c r="C84" s="5">
        <v>647</v>
      </c>
      <c r="D84" s="5" t="str">
        <f>IF(tblProducts[[#This Row],[Current Price]]="","Missing",IF(tblProducts[[#This Row],[Current Price]]&lt;Price_Q1,"Low Price",IF(tblProducts[[#This Row],[Current Price]]&lt;Price_Q3,"Medium Price","High Price")))</f>
        <v>Low Price</v>
      </c>
      <c r="E84" s="5">
        <f>tblProducts[[#This Row],[Old Price]]-tblProducts[[#This Row],[Current Price]]</f>
        <v>317</v>
      </c>
      <c r="F84" s="6">
        <v>0.49</v>
      </c>
      <c r="G84" s="6" t="str">
        <f>IF(tblProducts[[#This Row],[Discount]]="","Missing",IF(tblProducts[[#This Row],[Discount]]&lt;20%,"Low Discount",IF(tblProducts[[#This Row],[Discount]]&lt;=40%,"Medium Discount","High Discount")))</f>
        <v>High Discount</v>
      </c>
      <c r="H84" s="7">
        <v>1</v>
      </c>
      <c r="I84" s="3">
        <v>4</v>
      </c>
      <c r="J84" s="3" t="str">
        <f>IF(tblProducts[[#This Row],[Rating]]="","Missing",IF(tblProducts[[#This Row],[Rating]]&lt;3,"Poor",IF(tblProducts[[#This Row],[Rating]]&lt;=4,"Average",IF(tblProducts[[#This Row],[Rating]]&lt;4.5, "Unclassified","Excellent"))))</f>
        <v>Average</v>
      </c>
    </row>
    <row r="85" spans="1:10" x14ac:dyDescent="0.35">
      <c r="A85" t="s">
        <v>154</v>
      </c>
      <c r="B85" s="5">
        <v>176</v>
      </c>
      <c r="C85" s="5">
        <v>345</v>
      </c>
      <c r="D85" s="5" t="str">
        <f>IF(tblProducts[[#This Row],[Current Price]]="","Missing",IF(tblProducts[[#This Row],[Current Price]]&lt;Price_Q1,"Low Price",IF(tblProducts[[#This Row],[Current Price]]&lt;Price_Q3,"Medium Price","High Price")))</f>
        <v>Low Price</v>
      </c>
      <c r="E85" s="5">
        <f>tblProducts[[#This Row],[Old Price]]-tblProducts[[#This Row],[Current Price]]</f>
        <v>169</v>
      </c>
      <c r="F85" s="6">
        <v>0.49</v>
      </c>
      <c r="G85" s="6" t="str">
        <f>IF(tblProducts[[#This Row],[Discount]]="","Missing",IF(tblProducts[[#This Row],[Discount]]&lt;20%,"Low Discount",IF(tblProducts[[#This Row],[Discount]]&lt;=40%,"Medium Discount","High Discount")))</f>
        <v>High Discount</v>
      </c>
      <c r="H85" s="7" t="s">
        <v>341</v>
      </c>
      <c r="I85" s="3"/>
      <c r="J85" s="3" t="str">
        <f>IF(tblProducts[[#This Row],[Rating]]="","Missing",IF(tblProducts[[#This Row],[Rating]]&lt;3,"Poor",IF(tblProducts[[#This Row],[Rating]]&lt;=4,"Average",IF(tblProducts[[#This Row],[Rating]]&lt;4.5, "Unclassified","Excellent"))))</f>
        <v>Missing</v>
      </c>
    </row>
    <row r="86" spans="1:10" x14ac:dyDescent="0.35">
      <c r="A86" t="s">
        <v>256</v>
      </c>
      <c r="B86" s="5">
        <v>1466</v>
      </c>
      <c r="C86" s="5">
        <v>1699</v>
      </c>
      <c r="D86" s="5" t="str">
        <f>IF(tblProducts[[#This Row],[Current Price]]="","Missing",IF(tblProducts[[#This Row],[Current Price]]&lt;Price_Q1,"Low Price",IF(tblProducts[[#This Row],[Current Price]]&lt;Price_Q3,"Medium Price","High Price")))</f>
        <v>Medium Price</v>
      </c>
      <c r="E86" s="5">
        <f>tblProducts[[#This Row],[Old Price]]-tblProducts[[#This Row],[Current Price]]</f>
        <v>233</v>
      </c>
      <c r="F86" s="6">
        <v>0.14000000000000001</v>
      </c>
      <c r="G86" s="6" t="str">
        <f>IF(tblProducts[[#This Row],[Discount]]="","Missing",IF(tblProducts[[#This Row],[Discount]]&lt;20%,"Low Discount",IF(tblProducts[[#This Row],[Discount]]&lt;=40%,"Medium Discount","High Discount")))</f>
        <v>Low Discount</v>
      </c>
      <c r="H86" s="7" t="s">
        <v>341</v>
      </c>
      <c r="I86" s="3"/>
      <c r="J86" s="3" t="str">
        <f>IF(tblProducts[[#This Row],[Rating]]="","Missing",IF(tblProducts[[#This Row],[Rating]]&lt;3,"Poor",IF(tblProducts[[#This Row],[Rating]]&lt;=4,"Average",IF(tblProducts[[#This Row],[Rating]]&lt;4.5, "Unclassified","Excellent"))))</f>
        <v>Missing</v>
      </c>
    </row>
    <row r="87" spans="1:10" x14ac:dyDescent="0.35">
      <c r="A87" t="s">
        <v>258</v>
      </c>
      <c r="B87" s="5">
        <v>274</v>
      </c>
      <c r="C87" s="5">
        <v>537</v>
      </c>
      <c r="D87" s="5" t="str">
        <f>IF(tblProducts[[#This Row],[Current Price]]="","Missing",IF(tblProducts[[#This Row],[Current Price]]&lt;Price_Q1,"Low Price",IF(tblProducts[[#This Row],[Current Price]]&lt;Price_Q3,"Medium Price","High Price")))</f>
        <v>Low Price</v>
      </c>
      <c r="E87" s="5">
        <f>tblProducts[[#This Row],[Old Price]]-tblProducts[[#This Row],[Current Price]]</f>
        <v>263</v>
      </c>
      <c r="F87" s="6">
        <v>0.49</v>
      </c>
      <c r="G87" s="6" t="str">
        <f>IF(tblProducts[[#This Row],[Discount]]="","Missing",IF(tblProducts[[#This Row],[Discount]]&lt;20%,"Low Discount",IF(tblProducts[[#This Row],[Discount]]&lt;=40%,"Medium Discount","High Discount")))</f>
        <v>High Discount</v>
      </c>
      <c r="H87" s="7" t="s">
        <v>341</v>
      </c>
      <c r="I87" s="3"/>
      <c r="J87" s="3" t="str">
        <f>IF(tblProducts[[#This Row],[Rating]]="","Missing",IF(tblProducts[[#This Row],[Rating]]&lt;3,"Poor",IF(tblProducts[[#This Row],[Rating]]&lt;=4,"Average",IF(tblProducts[[#This Row],[Rating]]&lt;4.5, "Unclassified","Excellent"))))</f>
        <v>Missing</v>
      </c>
    </row>
    <row r="88" spans="1:10" x14ac:dyDescent="0.35">
      <c r="A88" t="s">
        <v>261</v>
      </c>
      <c r="B88" s="5">
        <v>799</v>
      </c>
      <c r="C88" s="5">
        <v>900</v>
      </c>
      <c r="D88" s="5" t="str">
        <f>IF(tblProducts[[#This Row],[Current Price]]="","Missing",IF(tblProducts[[#This Row],[Current Price]]&lt;Price_Q1,"Low Price",IF(tblProducts[[#This Row],[Current Price]]&lt;Price_Q3,"Medium Price","High Price")))</f>
        <v>Medium Price</v>
      </c>
      <c r="E88" s="5">
        <f>tblProducts[[#This Row],[Old Price]]-tblProducts[[#This Row],[Current Price]]</f>
        <v>101</v>
      </c>
      <c r="F88" s="6">
        <v>0.11</v>
      </c>
      <c r="G88" s="6" t="str">
        <f>IF(tblProducts[[#This Row],[Discount]]="","Missing",IF(tblProducts[[#This Row],[Discount]]&lt;20%,"Low Discount",IF(tblProducts[[#This Row],[Discount]]&lt;=40%,"Medium Discount","High Discount")))</f>
        <v>Low Discount</v>
      </c>
      <c r="H88" s="7" t="s">
        <v>341</v>
      </c>
      <c r="I88" s="3"/>
      <c r="J88" s="3" t="str">
        <f>IF(tblProducts[[#This Row],[Rating]]="","Missing",IF(tblProducts[[#This Row],[Rating]]&lt;3,"Poor",IF(tblProducts[[#This Row],[Rating]]&lt;=4,"Average",IF(tblProducts[[#This Row],[Rating]]&lt;4.5, "Unclassified","Excellent"))))</f>
        <v>Missing</v>
      </c>
    </row>
    <row r="89" spans="1:10" x14ac:dyDescent="0.35">
      <c r="A89" t="s">
        <v>175</v>
      </c>
      <c r="B89" s="5">
        <v>657</v>
      </c>
      <c r="C89" s="5">
        <v>1288</v>
      </c>
      <c r="D89" s="5" t="str">
        <f>IF(tblProducts[[#This Row],[Current Price]]="","Missing",IF(tblProducts[[#This Row],[Current Price]]&lt;Price_Q1,"Low Price",IF(tblProducts[[#This Row],[Current Price]]&lt;Price_Q3,"Medium Price","High Price")))</f>
        <v>Medium Price</v>
      </c>
      <c r="E89" s="5">
        <f>tblProducts[[#This Row],[Old Price]]-tblProducts[[#This Row],[Current Price]]</f>
        <v>631</v>
      </c>
      <c r="F89" s="6">
        <v>0.49</v>
      </c>
      <c r="G89" s="6" t="str">
        <f>IF(tblProducts[[#This Row],[Discount]]="","Missing",IF(tblProducts[[#This Row],[Discount]]&lt;20%,"Low Discount",IF(tblProducts[[#This Row],[Discount]]&lt;=40%,"Medium Discount","High Discount")))</f>
        <v>High Discount</v>
      </c>
      <c r="H89" s="7" t="s">
        <v>341</v>
      </c>
      <c r="I89" s="3"/>
      <c r="J89" s="3" t="str">
        <f>IF(tblProducts[[#This Row],[Rating]]="","Missing",IF(tblProducts[[#This Row],[Rating]]&lt;3,"Poor",IF(tblProducts[[#This Row],[Rating]]&lt;=4,"Average",IF(tblProducts[[#This Row],[Rating]]&lt;4.5, "Unclassified","Excellent"))))</f>
        <v>Missing</v>
      </c>
    </row>
    <row r="90" spans="1:10" x14ac:dyDescent="0.35">
      <c r="A90" t="s">
        <v>264</v>
      </c>
      <c r="B90" s="5">
        <v>1468</v>
      </c>
      <c r="C90" s="5">
        <v>1699</v>
      </c>
      <c r="D90" s="5" t="str">
        <f>IF(tblProducts[[#This Row],[Current Price]]="","Missing",IF(tblProducts[[#This Row],[Current Price]]&lt;Price_Q1,"Low Price",IF(tblProducts[[#This Row],[Current Price]]&lt;Price_Q3,"Medium Price","High Price")))</f>
        <v>Medium Price</v>
      </c>
      <c r="E90" s="5">
        <f>tblProducts[[#This Row],[Old Price]]-tblProducts[[#This Row],[Current Price]]</f>
        <v>231</v>
      </c>
      <c r="F90" s="6">
        <v>0.14000000000000001</v>
      </c>
      <c r="G90" s="6" t="str">
        <f>IF(tblProducts[[#This Row],[Discount]]="","Missing",IF(tblProducts[[#This Row],[Discount]]&lt;20%,"Low Discount",IF(tblProducts[[#This Row],[Discount]]&lt;=40%,"Medium Discount","High Discount")))</f>
        <v>Low Discount</v>
      </c>
      <c r="H90" s="7" t="s">
        <v>341</v>
      </c>
      <c r="I90" s="3"/>
      <c r="J90" s="3" t="str">
        <f>IF(tblProducts[[#This Row],[Rating]]="","Missing",IF(tblProducts[[#This Row],[Rating]]&lt;3,"Poor",IF(tblProducts[[#This Row],[Rating]]&lt;=4,"Average",IF(tblProducts[[#This Row],[Rating]]&lt;4.5, "Unclassified","Excellent"))))</f>
        <v>Missing</v>
      </c>
    </row>
    <row r="91" spans="1:10" x14ac:dyDescent="0.35">
      <c r="A91" t="s">
        <v>266</v>
      </c>
      <c r="B91" s="5">
        <v>630</v>
      </c>
      <c r="C91" s="5">
        <v>1100</v>
      </c>
      <c r="D91" s="5" t="str">
        <f>IF(tblProducts[[#This Row],[Current Price]]="","Missing",IF(tblProducts[[#This Row],[Current Price]]&lt;Price_Q1,"Low Price",IF(tblProducts[[#This Row],[Current Price]]&lt;Price_Q3,"Medium Price","High Price")))</f>
        <v>Medium Price</v>
      </c>
      <c r="E91" s="5">
        <f>tblProducts[[#This Row],[Old Price]]-tblProducts[[#This Row],[Current Price]]</f>
        <v>470</v>
      </c>
      <c r="F91" s="6">
        <v>0.43</v>
      </c>
      <c r="G91" s="6" t="str">
        <f>IF(tblProducts[[#This Row],[Discount]]="","Missing",IF(tblProducts[[#This Row],[Discount]]&lt;20%,"Low Discount",IF(tblProducts[[#This Row],[Discount]]&lt;=40%,"Medium Discount","High Discount")))</f>
        <v>High Discount</v>
      </c>
      <c r="H91" s="7" t="s">
        <v>341</v>
      </c>
      <c r="I91" s="3"/>
      <c r="J91" s="3" t="str">
        <f>IF(tblProducts[[#This Row],[Rating]]="","Missing",IF(tblProducts[[#This Row],[Rating]]&lt;3,"Poor",IF(tblProducts[[#This Row],[Rating]]&lt;=4,"Average",IF(tblProducts[[#This Row],[Rating]]&lt;4.5, "Unclassified","Excellent"))))</f>
        <v>Missing</v>
      </c>
    </row>
    <row r="92" spans="1:10" x14ac:dyDescent="0.35">
      <c r="A92" t="s">
        <v>269</v>
      </c>
      <c r="B92" s="5">
        <v>850</v>
      </c>
      <c r="C92" s="5">
        <v>1700</v>
      </c>
      <c r="D92" s="5" t="str">
        <f>IF(tblProducts[[#This Row],[Current Price]]="","Missing",IF(tblProducts[[#This Row],[Current Price]]&lt;Price_Q1,"Low Price",IF(tblProducts[[#This Row],[Current Price]]&lt;Price_Q3,"Medium Price","High Price")))</f>
        <v>Medium Price</v>
      </c>
      <c r="E92" s="5">
        <f>tblProducts[[#This Row],[Old Price]]-tblProducts[[#This Row],[Current Price]]</f>
        <v>850</v>
      </c>
      <c r="F92" s="6">
        <v>0.5</v>
      </c>
      <c r="G92" s="6" t="str">
        <f>IF(tblProducts[[#This Row],[Discount]]="","Missing",IF(tblProducts[[#This Row],[Discount]]&lt;20%,"Low Discount",IF(tblProducts[[#This Row],[Discount]]&lt;=40%,"Medium Discount","High Discount")))</f>
        <v>High Discount</v>
      </c>
      <c r="H92" s="7" t="s">
        <v>341</v>
      </c>
      <c r="I92" s="3"/>
      <c r="J92" s="3" t="str">
        <f>IF(tblProducts[[#This Row],[Rating]]="","Missing",IF(tblProducts[[#This Row],[Rating]]&lt;3,"Poor",IF(tblProducts[[#This Row],[Rating]]&lt;=4,"Average",IF(tblProducts[[#This Row],[Rating]]&lt;4.5, "Unclassified","Excellent"))))</f>
        <v>Missing</v>
      </c>
    </row>
    <row r="93" spans="1:10" x14ac:dyDescent="0.35">
      <c r="A93" t="s">
        <v>272</v>
      </c>
      <c r="B93" s="5">
        <v>1300</v>
      </c>
      <c r="C93" s="5">
        <v>2500</v>
      </c>
      <c r="D93" s="5" t="str">
        <f>IF(tblProducts[[#This Row],[Current Price]]="","Missing",IF(tblProducts[[#This Row],[Current Price]]&lt;Price_Q1,"Low Price",IF(tblProducts[[#This Row],[Current Price]]&lt;Price_Q3,"Medium Price","High Price")))</f>
        <v>Medium Price</v>
      </c>
      <c r="E93" s="5">
        <f>tblProducts[[#This Row],[Old Price]]-tblProducts[[#This Row],[Current Price]]</f>
        <v>1200</v>
      </c>
      <c r="F93" s="6">
        <v>0.48</v>
      </c>
      <c r="G93" s="6" t="str">
        <f>IF(tblProducts[[#This Row],[Discount]]="","Missing",IF(tblProducts[[#This Row],[Discount]]&lt;20%,"Low Discount",IF(tblProducts[[#This Row],[Discount]]&lt;=40%,"Medium Discount","High Discount")))</f>
        <v>High Discount</v>
      </c>
      <c r="H93" s="7" t="s">
        <v>341</v>
      </c>
      <c r="I93" s="3"/>
      <c r="J93" s="3" t="str">
        <f>IF(tblProducts[[#This Row],[Rating]]="","Missing",IF(tblProducts[[#This Row],[Rating]]&lt;3,"Poor",IF(tblProducts[[#This Row],[Rating]]&lt;=4,"Average",IF(tblProducts[[#This Row],[Rating]]&lt;4.5, "Unclassified","Excellent"))))</f>
        <v>Missing</v>
      </c>
    </row>
    <row r="94" spans="1:10" x14ac:dyDescent="0.35">
      <c r="A94" t="s">
        <v>274</v>
      </c>
      <c r="B94" s="5">
        <v>105</v>
      </c>
      <c r="C94" s="5">
        <v>200</v>
      </c>
      <c r="D94" s="5" t="str">
        <f>IF(tblProducts[[#This Row],[Current Price]]="","Missing",IF(tblProducts[[#This Row],[Current Price]]&lt;Price_Q1,"Low Price",IF(tblProducts[[#This Row],[Current Price]]&lt;Price_Q3,"Medium Price","High Price")))</f>
        <v>Low Price</v>
      </c>
      <c r="E94" s="5">
        <f>tblProducts[[#This Row],[Old Price]]-tblProducts[[#This Row],[Current Price]]</f>
        <v>95</v>
      </c>
      <c r="F94" s="6">
        <v>0.48</v>
      </c>
      <c r="G94" s="6" t="str">
        <f>IF(tblProducts[[#This Row],[Discount]]="","Missing",IF(tblProducts[[#This Row],[Discount]]&lt;20%,"Low Discount",IF(tblProducts[[#This Row],[Discount]]&lt;=40%,"Medium Discount","High Discount")))</f>
        <v>High Discount</v>
      </c>
      <c r="H94" s="7" t="s">
        <v>341</v>
      </c>
      <c r="I94" s="3"/>
      <c r="J94" s="3" t="str">
        <f>IF(tblProducts[[#This Row],[Rating]]="","Missing",IF(tblProducts[[#This Row],[Rating]]&lt;3,"Poor",IF(tblProducts[[#This Row],[Rating]]&lt;=4,"Average",IF(tblProducts[[#This Row],[Rating]]&lt;4.5, "Unclassified","Excellent"))))</f>
        <v>Missing</v>
      </c>
    </row>
    <row r="95" spans="1:10" x14ac:dyDescent="0.35">
      <c r="A95" t="s">
        <v>277</v>
      </c>
      <c r="B95" s="5">
        <v>899</v>
      </c>
      <c r="C95" s="5">
        <v>1699</v>
      </c>
      <c r="D95" s="5" t="str">
        <f>IF(tblProducts[[#This Row],[Current Price]]="","Missing",IF(tblProducts[[#This Row],[Current Price]]&lt;Price_Q1,"Low Price",IF(tblProducts[[#This Row],[Current Price]]&lt;Price_Q3,"Medium Price","High Price")))</f>
        <v>Medium Price</v>
      </c>
      <c r="E95" s="5">
        <f>tblProducts[[#This Row],[Old Price]]-tblProducts[[#This Row],[Current Price]]</f>
        <v>800</v>
      </c>
      <c r="F95" s="6">
        <v>0.47</v>
      </c>
      <c r="G95" s="6" t="str">
        <f>IF(tblProducts[[#This Row],[Discount]]="","Missing",IF(tblProducts[[#This Row],[Discount]]&lt;20%,"Low Discount",IF(tblProducts[[#This Row],[Discount]]&lt;=40%,"Medium Discount","High Discount")))</f>
        <v>High Discount</v>
      </c>
      <c r="H95" s="7" t="s">
        <v>341</v>
      </c>
      <c r="I95" s="3"/>
      <c r="J95" s="3" t="str">
        <f>IF(tblProducts[[#This Row],[Rating]]="","Missing",IF(tblProducts[[#This Row],[Rating]]&lt;3,"Poor",IF(tblProducts[[#This Row],[Rating]]&lt;=4,"Average",IF(tblProducts[[#This Row],[Rating]]&lt;4.5, "Unclassified","Excellent"))))</f>
        <v>Missing</v>
      </c>
    </row>
    <row r="96" spans="1:10" x14ac:dyDescent="0.35">
      <c r="A96" t="s">
        <v>278</v>
      </c>
      <c r="B96" s="5">
        <v>1200</v>
      </c>
      <c r="C96" s="5">
        <v>2400</v>
      </c>
      <c r="D96" s="5" t="str">
        <f>IF(tblProducts[[#This Row],[Current Price]]="","Missing",IF(tblProducts[[#This Row],[Current Price]]&lt;Price_Q1,"Low Price",IF(tblProducts[[#This Row],[Current Price]]&lt;Price_Q3,"Medium Price","High Price")))</f>
        <v>Medium Price</v>
      </c>
      <c r="E96" s="5">
        <f>tblProducts[[#This Row],[Old Price]]-tblProducts[[#This Row],[Current Price]]</f>
        <v>1200</v>
      </c>
      <c r="F96" s="6">
        <v>0.5</v>
      </c>
      <c r="G96" s="6" t="str">
        <f>IF(tblProducts[[#This Row],[Discount]]="","Missing",IF(tblProducts[[#This Row],[Discount]]&lt;20%,"Low Discount",IF(tblProducts[[#This Row],[Discount]]&lt;=40%,"Medium Discount","High Discount")))</f>
        <v>High Discount</v>
      </c>
      <c r="H96" s="7" t="s">
        <v>341</v>
      </c>
      <c r="I96" s="3"/>
      <c r="J96" s="3" t="str">
        <f>IF(tblProducts[[#This Row],[Rating]]="","Missing",IF(tblProducts[[#This Row],[Rating]]&lt;3,"Poor",IF(tblProducts[[#This Row],[Rating]]&lt;=4,"Average",IF(tblProducts[[#This Row],[Rating]]&lt;4.5, "Unclassified","Excellent"))))</f>
        <v>Missing</v>
      </c>
    </row>
    <row r="97" spans="1:10" x14ac:dyDescent="0.35">
      <c r="A97" t="s">
        <v>280</v>
      </c>
      <c r="B97" s="5">
        <v>1526</v>
      </c>
      <c r="C97" s="5">
        <v>1660</v>
      </c>
      <c r="D97" s="5" t="str">
        <f>IF(tblProducts[[#This Row],[Current Price]]="","Missing",IF(tblProducts[[#This Row],[Current Price]]&lt;Price_Q1,"Low Price",IF(tblProducts[[#This Row],[Current Price]]&lt;Price_Q3,"Medium Price","High Price")))</f>
        <v>Medium Price</v>
      </c>
      <c r="E97" s="5">
        <f>tblProducts[[#This Row],[Old Price]]-tblProducts[[#This Row],[Current Price]]</f>
        <v>134</v>
      </c>
      <c r="F97" s="6">
        <v>0.08</v>
      </c>
      <c r="G97" s="6" t="str">
        <f>IF(tblProducts[[#This Row],[Discount]]="","Missing",IF(tblProducts[[#This Row],[Discount]]&lt;20%,"Low Discount",IF(tblProducts[[#This Row],[Discount]]&lt;=40%,"Medium Discount","High Discount")))</f>
        <v>Low Discount</v>
      </c>
      <c r="H97" s="7" t="s">
        <v>341</v>
      </c>
      <c r="I97" s="3"/>
      <c r="J97" s="3" t="str">
        <f>IF(tblProducts[[#This Row],[Rating]]="","Missing",IF(tblProducts[[#This Row],[Rating]]&lt;3,"Poor",IF(tblProducts[[#This Row],[Rating]]&lt;=4,"Average",IF(tblProducts[[#This Row],[Rating]]&lt;4.5, "Unclassified","Excellent"))))</f>
        <v>Missing</v>
      </c>
    </row>
    <row r="98" spans="1:10" x14ac:dyDescent="0.35">
      <c r="A98" t="s">
        <v>282</v>
      </c>
      <c r="B98" s="5">
        <v>1462</v>
      </c>
      <c r="C98" s="5">
        <v>1499</v>
      </c>
      <c r="D98" s="5" t="str">
        <f>IF(tblProducts[[#This Row],[Current Price]]="","Missing",IF(tblProducts[[#This Row],[Current Price]]&lt;Price_Q1,"Low Price",IF(tblProducts[[#This Row],[Current Price]]&lt;Price_Q3,"Medium Price","High Price")))</f>
        <v>Medium Price</v>
      </c>
      <c r="E98" s="5">
        <f>tblProducts[[#This Row],[Old Price]]-tblProducts[[#This Row],[Current Price]]</f>
        <v>37</v>
      </c>
      <c r="F98" s="6">
        <v>0.02</v>
      </c>
      <c r="G98" s="6" t="str">
        <f>IF(tblProducts[[#This Row],[Discount]]="","Missing",IF(tblProducts[[#This Row],[Discount]]&lt;20%,"Low Discount",IF(tblProducts[[#This Row],[Discount]]&lt;=40%,"Medium Discount","High Discount")))</f>
        <v>Low Discount</v>
      </c>
      <c r="H98" s="7" t="s">
        <v>341</v>
      </c>
      <c r="I98" s="3"/>
      <c r="J98" s="3" t="str">
        <f>IF(tblProducts[[#This Row],[Rating]]="","Missing",IF(tblProducts[[#This Row],[Rating]]&lt;3,"Poor",IF(tblProducts[[#This Row],[Rating]]&lt;=4,"Average",IF(tblProducts[[#This Row],[Rating]]&lt;4.5, "Unclassified","Excellent"))))</f>
        <v>Missing</v>
      </c>
    </row>
    <row r="99" spans="1:10" x14ac:dyDescent="0.35">
      <c r="A99" t="s">
        <v>284</v>
      </c>
      <c r="B99" s="5">
        <v>248</v>
      </c>
      <c r="C99" s="5">
        <v>486</v>
      </c>
      <c r="D99" s="5" t="str">
        <f>IF(tblProducts[[#This Row],[Current Price]]="","Missing",IF(tblProducts[[#This Row],[Current Price]]&lt;Price_Q1,"Low Price",IF(tblProducts[[#This Row],[Current Price]]&lt;Price_Q3,"Medium Price","High Price")))</f>
        <v>Low Price</v>
      </c>
      <c r="E99" s="5">
        <f>tblProducts[[#This Row],[Old Price]]-tblProducts[[#This Row],[Current Price]]</f>
        <v>238</v>
      </c>
      <c r="F99" s="6">
        <v>0.49</v>
      </c>
      <c r="G99" s="6" t="str">
        <f>IF(tblProducts[[#This Row],[Discount]]="","Missing",IF(tblProducts[[#This Row],[Discount]]&lt;20%,"Low Discount",IF(tblProducts[[#This Row],[Discount]]&lt;=40%,"Medium Discount","High Discount")))</f>
        <v>High Discount</v>
      </c>
      <c r="H99" s="7" t="s">
        <v>341</v>
      </c>
      <c r="I99" s="3"/>
      <c r="J99" s="3" t="str">
        <f>IF(tblProducts[[#This Row],[Rating]]="","Missing",IF(tblProducts[[#This Row],[Rating]]&lt;3,"Poor",IF(tblProducts[[#This Row],[Rating]]&lt;=4,"Average",IF(tblProducts[[#This Row],[Rating]]&lt;4.5, "Unclassified","Excellent"))))</f>
        <v>Missing</v>
      </c>
    </row>
    <row r="100" spans="1:10" x14ac:dyDescent="0.35">
      <c r="A100" t="s">
        <v>287</v>
      </c>
      <c r="B100" s="5">
        <v>3546</v>
      </c>
      <c r="C100" s="5">
        <v>3699</v>
      </c>
      <c r="D100" s="5" t="str">
        <f>IF(tblProducts[[#This Row],[Current Price]]="","Missing",IF(tblProducts[[#This Row],[Current Price]]&lt;Price_Q1,"Low Price",IF(tblProducts[[#This Row],[Current Price]]&lt;Price_Q3,"Medium Price","High Price")))</f>
        <v>High Price</v>
      </c>
      <c r="E100" s="5">
        <f>tblProducts[[#This Row],[Old Price]]-tblProducts[[#This Row],[Current Price]]</f>
        <v>153</v>
      </c>
      <c r="F100" s="6">
        <v>0.04</v>
      </c>
      <c r="G100" s="6" t="str">
        <f>IF(tblProducts[[#This Row],[Discount]]="","Missing",IF(tblProducts[[#This Row],[Discount]]&lt;20%,"Low Discount",IF(tblProducts[[#This Row],[Discount]]&lt;=40%,"Medium Discount","High Discount")))</f>
        <v>Low Discount</v>
      </c>
      <c r="H100" s="7" t="s">
        <v>341</v>
      </c>
      <c r="I100" s="3"/>
      <c r="J100" s="3" t="str">
        <f>IF(tblProducts[[#This Row],[Rating]]="","Missing",IF(tblProducts[[#This Row],[Rating]]&lt;3,"Poor",IF(tblProducts[[#This Row],[Rating]]&lt;=4,"Average",IF(tblProducts[[#This Row],[Rating]]&lt;4.5, "Unclassified","Excellent"))))</f>
        <v>Missing</v>
      </c>
    </row>
    <row r="101" spans="1:10" x14ac:dyDescent="0.35">
      <c r="A101" t="s">
        <v>289</v>
      </c>
      <c r="B101" s="5">
        <v>525</v>
      </c>
      <c r="C101" s="5">
        <v>1029</v>
      </c>
      <c r="D101" s="5" t="str">
        <f>IF(tblProducts[[#This Row],[Current Price]]="","Missing",IF(tblProducts[[#This Row],[Current Price]]&lt;Price_Q1,"Low Price",IF(tblProducts[[#This Row],[Current Price]]&lt;Price_Q3,"Medium Price","High Price")))</f>
        <v>Medium Price</v>
      </c>
      <c r="E101" s="5">
        <f>tblProducts[[#This Row],[Old Price]]-tblProducts[[#This Row],[Current Price]]</f>
        <v>504</v>
      </c>
      <c r="F101" s="6">
        <v>0.49</v>
      </c>
      <c r="G101" s="6" t="str">
        <f>IF(tblProducts[[#This Row],[Discount]]="","Missing",IF(tblProducts[[#This Row],[Discount]]&lt;20%,"Low Discount",IF(tblProducts[[#This Row],[Discount]]&lt;=40%,"Medium Discount","High Discount")))</f>
        <v>High Discount</v>
      </c>
      <c r="H101" s="7" t="s">
        <v>341</v>
      </c>
      <c r="I101" s="3"/>
      <c r="J101" s="3" t="str">
        <f>IF(tblProducts[[#This Row],[Rating]]="","Missing",IF(tblProducts[[#This Row],[Rating]]&lt;3,"Poor",IF(tblProducts[[#This Row],[Rating]]&lt;=4,"Average",IF(tblProducts[[#This Row],[Rating]]&lt;4.5, "Unclassified","Excellent"))))</f>
        <v>Missing</v>
      </c>
    </row>
    <row r="102" spans="1:10" x14ac:dyDescent="0.35">
      <c r="A102" t="s">
        <v>292</v>
      </c>
      <c r="B102" s="5">
        <v>1080</v>
      </c>
      <c r="C102" s="5">
        <v>1874</v>
      </c>
      <c r="D102" s="5" t="str">
        <f>IF(tblProducts[[#This Row],[Current Price]]="","Missing",IF(tblProducts[[#This Row],[Current Price]]&lt;Price_Q1,"Low Price",IF(tblProducts[[#This Row],[Current Price]]&lt;Price_Q3,"Medium Price","High Price")))</f>
        <v>Medium Price</v>
      </c>
      <c r="E102" s="5">
        <f>tblProducts[[#This Row],[Old Price]]-tblProducts[[#This Row],[Current Price]]</f>
        <v>794</v>
      </c>
      <c r="F102" s="6">
        <v>0.42</v>
      </c>
      <c r="G102" s="6" t="str">
        <f>IF(tblProducts[[#This Row],[Discount]]="","Missing",IF(tblProducts[[#This Row],[Discount]]&lt;20%,"Low Discount",IF(tblProducts[[#This Row],[Discount]]&lt;=40%,"Medium Discount","High Discount")))</f>
        <v>High Discount</v>
      </c>
      <c r="H102" s="7" t="s">
        <v>341</v>
      </c>
      <c r="I102" s="3"/>
      <c r="J102" s="3" t="str">
        <f>IF(tblProducts[[#This Row],[Rating]]="","Missing",IF(tblProducts[[#This Row],[Rating]]&lt;3,"Poor",IF(tblProducts[[#This Row],[Rating]]&lt;=4,"Average",IF(tblProducts[[#This Row],[Rating]]&lt;4.5, "Unclassified","Excellent"))))</f>
        <v>Missing</v>
      </c>
    </row>
    <row r="103" spans="1:10" x14ac:dyDescent="0.35">
      <c r="A103" t="s">
        <v>295</v>
      </c>
      <c r="B103" s="5">
        <v>3640</v>
      </c>
      <c r="C103" s="5">
        <v>4588</v>
      </c>
      <c r="D103" s="5" t="str">
        <f>IF(tblProducts[[#This Row],[Current Price]]="","Missing",IF(tblProducts[[#This Row],[Current Price]]&lt;Price_Q1,"Low Price",IF(tblProducts[[#This Row],[Current Price]]&lt;Price_Q3,"Medium Price","High Price")))</f>
        <v>High Price</v>
      </c>
      <c r="E103" s="5">
        <f>tblProducts[[#This Row],[Old Price]]-tblProducts[[#This Row],[Current Price]]</f>
        <v>948</v>
      </c>
      <c r="F103" s="6">
        <v>0.21</v>
      </c>
      <c r="G103" s="6" t="str">
        <f>IF(tblProducts[[#This Row],[Discount]]="","Missing",IF(tblProducts[[#This Row],[Discount]]&lt;20%,"Low Discount",IF(tblProducts[[#This Row],[Discount]]&lt;=40%,"Medium Discount","High Discount")))</f>
        <v>Medium Discount</v>
      </c>
      <c r="H103" s="7">
        <v>1</v>
      </c>
      <c r="I103" s="3">
        <v>5</v>
      </c>
      <c r="J103" s="3" t="str">
        <f>IF(tblProducts[[#This Row],[Rating]]="","Missing",IF(tblProducts[[#This Row],[Rating]]&lt;3,"Poor",IF(tblProducts[[#This Row],[Rating]]&lt;=4,"Average",IF(tblProducts[[#This Row],[Rating]]&lt;4.5, "Unclassified","Excellent"))))</f>
        <v>Excellent</v>
      </c>
    </row>
    <row r="104" spans="1:10" x14ac:dyDescent="0.35">
      <c r="A104" t="s">
        <v>298</v>
      </c>
      <c r="B104" s="5">
        <v>1420</v>
      </c>
      <c r="C104" s="5">
        <v>2420</v>
      </c>
      <c r="D104" s="5" t="str">
        <f>IF(tblProducts[[#This Row],[Current Price]]="","Missing",IF(tblProducts[[#This Row],[Current Price]]&lt;Price_Q1,"Low Price",IF(tblProducts[[#This Row],[Current Price]]&lt;Price_Q3,"Medium Price","High Price")))</f>
        <v>Medium Price</v>
      </c>
      <c r="E104" s="5">
        <f>tblProducts[[#This Row],[Old Price]]-tblProducts[[#This Row],[Current Price]]</f>
        <v>1000</v>
      </c>
      <c r="F104" s="6">
        <v>0.41</v>
      </c>
      <c r="G104" s="6" t="str">
        <f>IF(tblProducts[[#This Row],[Discount]]="","Missing",IF(tblProducts[[#This Row],[Discount]]&lt;20%,"Low Discount",IF(tblProducts[[#This Row],[Discount]]&lt;=40%,"Medium Discount","High Discount")))</f>
        <v>High Discount</v>
      </c>
      <c r="H104" s="7" t="s">
        <v>341</v>
      </c>
      <c r="I104" s="3"/>
      <c r="J104" s="3" t="str">
        <f>IF(tblProducts[[#This Row],[Rating]]="","Missing",IF(tblProducts[[#This Row],[Rating]]&lt;3,"Poor",IF(tblProducts[[#This Row],[Rating]]&lt;=4,"Average",IF(tblProducts[[#This Row],[Rating]]&lt;4.5, "Unclassified","Excellent"))))</f>
        <v>Missing</v>
      </c>
    </row>
    <row r="105" spans="1:10" x14ac:dyDescent="0.35">
      <c r="A105" t="s">
        <v>301</v>
      </c>
      <c r="B105" s="5">
        <v>1875</v>
      </c>
      <c r="C105" s="5">
        <v>1899</v>
      </c>
      <c r="D105" s="5" t="str">
        <f>IF(tblProducts[[#This Row],[Current Price]]="","Missing",IF(tblProducts[[#This Row],[Current Price]]&lt;Price_Q1,"Low Price",IF(tblProducts[[#This Row],[Current Price]]&lt;Price_Q3,"Medium Price","High Price")))</f>
        <v>High Price</v>
      </c>
      <c r="E105" s="5">
        <f>tblProducts[[#This Row],[Old Price]]-tblProducts[[#This Row],[Current Price]]</f>
        <v>24</v>
      </c>
      <c r="F105" s="6">
        <v>0.01</v>
      </c>
      <c r="G105" s="6" t="str">
        <f>IF(tblProducts[[#This Row],[Discount]]="","Missing",IF(tblProducts[[#This Row],[Discount]]&lt;20%,"Low Discount",IF(tblProducts[[#This Row],[Discount]]&lt;=40%,"Medium Discount","High Discount")))</f>
        <v>Low Discount</v>
      </c>
      <c r="H105" s="7" t="s">
        <v>341</v>
      </c>
      <c r="I105" s="3"/>
      <c r="J105" s="3" t="str">
        <f>IF(tblProducts[[#This Row],[Rating]]="","Missing",IF(tblProducts[[#This Row],[Rating]]&lt;3,"Poor",IF(tblProducts[[#This Row],[Rating]]&lt;=4,"Average",IF(tblProducts[[#This Row],[Rating]]&lt;4.5, "Unclassified","Excellent"))))</f>
        <v>Missing</v>
      </c>
    </row>
    <row r="106" spans="1:10" x14ac:dyDescent="0.35">
      <c r="A106" t="s">
        <v>304</v>
      </c>
      <c r="B106" s="5">
        <v>198</v>
      </c>
      <c r="C106" s="5">
        <v>260</v>
      </c>
      <c r="D106" s="5" t="str">
        <f>IF(tblProducts[[#This Row],[Current Price]]="","Missing",IF(tblProducts[[#This Row],[Current Price]]&lt;Price_Q1,"Low Price",IF(tblProducts[[#This Row],[Current Price]]&lt;Price_Q3,"Medium Price","High Price")))</f>
        <v>Low Price</v>
      </c>
      <c r="E106" s="5">
        <f>tblProducts[[#This Row],[Old Price]]-tblProducts[[#This Row],[Current Price]]</f>
        <v>62</v>
      </c>
      <c r="F106" s="6">
        <v>0.24</v>
      </c>
      <c r="G106" s="6" t="str">
        <f>IF(tblProducts[[#This Row],[Discount]]="","Missing",IF(tblProducts[[#This Row],[Discount]]&lt;20%,"Low Discount",IF(tblProducts[[#This Row],[Discount]]&lt;=40%,"Medium Discount","High Discount")))</f>
        <v>Medium Discount</v>
      </c>
      <c r="H106" s="7" t="s">
        <v>341</v>
      </c>
      <c r="I106" s="3"/>
      <c r="J106" s="3" t="str">
        <f>IF(tblProducts[[#This Row],[Rating]]="","Missing",IF(tblProducts[[#This Row],[Rating]]&lt;3,"Poor",IF(tblProducts[[#This Row],[Rating]]&lt;=4,"Average",IF(tblProducts[[#This Row],[Rating]]&lt;4.5, "Unclassified","Excellent"))))</f>
        <v>Missing</v>
      </c>
    </row>
    <row r="107" spans="1:10" x14ac:dyDescent="0.35">
      <c r="A107" t="s">
        <v>307</v>
      </c>
      <c r="B107" s="5">
        <v>1150</v>
      </c>
      <c r="C107" s="5">
        <v>1737</v>
      </c>
      <c r="D107" s="5" t="str">
        <f>IF(tblProducts[[#This Row],[Current Price]]="","Missing",IF(tblProducts[[#This Row],[Current Price]]&lt;Price_Q1,"Low Price",IF(tblProducts[[#This Row],[Current Price]]&lt;Price_Q3,"Medium Price","High Price")))</f>
        <v>Medium Price</v>
      </c>
      <c r="E107" s="5">
        <f>tblProducts[[#This Row],[Old Price]]-tblProducts[[#This Row],[Current Price]]</f>
        <v>587</v>
      </c>
      <c r="F107" s="6">
        <v>0.34</v>
      </c>
      <c r="G107" s="6" t="str">
        <f>IF(tblProducts[[#This Row],[Discount]]="","Missing",IF(tblProducts[[#This Row],[Discount]]&lt;20%,"Low Discount",IF(tblProducts[[#This Row],[Discount]]&lt;=40%,"Medium Discount","High Discount")))</f>
        <v>Medium Discount</v>
      </c>
      <c r="H107" s="7" t="s">
        <v>341</v>
      </c>
      <c r="I107" s="3"/>
      <c r="J107" s="3" t="str">
        <f>IF(tblProducts[[#This Row],[Rating]]="","Missing",IF(tblProducts[[#This Row],[Rating]]&lt;3,"Poor",IF(tblProducts[[#This Row],[Rating]]&lt;=4,"Average",IF(tblProducts[[#This Row],[Rating]]&lt;4.5, "Unclassified","Excellent"))))</f>
        <v>Missing</v>
      </c>
    </row>
    <row r="108" spans="1:10" x14ac:dyDescent="0.35">
      <c r="A108" t="s">
        <v>310</v>
      </c>
      <c r="B108" s="5">
        <v>1190</v>
      </c>
      <c r="C108" s="5">
        <v>1810</v>
      </c>
      <c r="D108" s="5" t="str">
        <f>IF(tblProducts[[#This Row],[Current Price]]="","Missing",IF(tblProducts[[#This Row],[Current Price]]&lt;Price_Q1,"Low Price",IF(tblProducts[[#This Row],[Current Price]]&lt;Price_Q3,"Medium Price","High Price")))</f>
        <v>Medium Price</v>
      </c>
      <c r="E108" s="5">
        <f>tblProducts[[#This Row],[Old Price]]-tblProducts[[#This Row],[Current Price]]</f>
        <v>620</v>
      </c>
      <c r="F108" s="6">
        <v>0.34</v>
      </c>
      <c r="G108" s="6" t="str">
        <f>IF(tblProducts[[#This Row],[Discount]]="","Missing",IF(tblProducts[[#This Row],[Discount]]&lt;20%,"Low Discount",IF(tblProducts[[#This Row],[Discount]]&lt;=40%,"Medium Discount","High Discount")))</f>
        <v>Medium Discount</v>
      </c>
      <c r="H108" s="7" t="s">
        <v>341</v>
      </c>
      <c r="I108" s="3"/>
      <c r="J108" s="3" t="str">
        <f>IF(tblProducts[[#This Row],[Rating]]="","Missing",IF(tblProducts[[#This Row],[Rating]]&lt;3,"Poor",IF(tblProducts[[#This Row],[Rating]]&lt;=4,"Average",IF(tblProducts[[#This Row],[Rating]]&lt;4.5, "Unclassified","Excellent"))))</f>
        <v>Missing</v>
      </c>
    </row>
    <row r="109" spans="1:10" x14ac:dyDescent="0.35">
      <c r="A109" t="s">
        <v>312</v>
      </c>
      <c r="B109" s="5">
        <v>1658</v>
      </c>
      <c r="C109" s="5">
        <v>1699</v>
      </c>
      <c r="D109" s="5" t="str">
        <f>IF(tblProducts[[#This Row],[Current Price]]="","Missing",IF(tblProducts[[#This Row],[Current Price]]&lt;Price_Q1,"Low Price",IF(tblProducts[[#This Row],[Current Price]]&lt;Price_Q3,"Medium Price","High Price")))</f>
        <v>Medium Price</v>
      </c>
      <c r="E109" s="5">
        <f>tblProducts[[#This Row],[Old Price]]-tblProducts[[#This Row],[Current Price]]</f>
        <v>41</v>
      </c>
      <c r="F109" s="6">
        <v>0.02</v>
      </c>
      <c r="G109" s="6" t="str">
        <f>IF(tblProducts[[#This Row],[Discount]]="","Missing",IF(tblProducts[[#This Row],[Discount]]&lt;20%,"Low Discount",IF(tblProducts[[#This Row],[Discount]]&lt;=40%,"Medium Discount","High Discount")))</f>
        <v>Low Discount</v>
      </c>
      <c r="H109" s="7" t="s">
        <v>341</v>
      </c>
      <c r="I109" s="3"/>
      <c r="J109" s="3" t="str">
        <f>IF(tblProducts[[#This Row],[Rating]]="","Missing",IF(tblProducts[[#This Row],[Rating]]&lt;3,"Poor",IF(tblProducts[[#This Row],[Rating]]&lt;=4,"Average",IF(tblProducts[[#This Row],[Rating]]&lt;4.5, "Unclassified","Excellent"))))</f>
        <v>Missing</v>
      </c>
    </row>
    <row r="110" spans="1:10" x14ac:dyDescent="0.35">
      <c r="A110" t="s">
        <v>314</v>
      </c>
      <c r="B110" s="5">
        <v>1768</v>
      </c>
      <c r="C110" s="5">
        <v>1799</v>
      </c>
      <c r="D110" s="5" t="str">
        <f>IF(tblProducts[[#This Row],[Current Price]]="","Missing",IF(tblProducts[[#This Row],[Current Price]]&lt;Price_Q1,"Low Price",IF(tblProducts[[#This Row],[Current Price]]&lt;Price_Q3,"Medium Price","High Price")))</f>
        <v>High Price</v>
      </c>
      <c r="E110" s="5">
        <f>tblProducts[[#This Row],[Old Price]]-tblProducts[[#This Row],[Current Price]]</f>
        <v>31</v>
      </c>
      <c r="F110" s="6">
        <v>0.02</v>
      </c>
      <c r="G110" s="6" t="str">
        <f>IF(tblProducts[[#This Row],[Discount]]="","Missing",IF(tblProducts[[#This Row],[Discount]]&lt;20%,"Low Discount",IF(tblProducts[[#This Row],[Discount]]&lt;=40%,"Medium Discount","High Discount")))</f>
        <v>Low Discount</v>
      </c>
      <c r="H110" s="7" t="s">
        <v>341</v>
      </c>
      <c r="I110" s="3"/>
      <c r="J110" s="3" t="str">
        <f>IF(tblProducts[[#This Row],[Rating]]="","Missing",IF(tblProducts[[#This Row],[Rating]]&lt;3,"Poor",IF(tblProducts[[#This Row],[Rating]]&lt;=4,"Average",IF(tblProducts[[#This Row],[Rating]]&lt;4.5, "Unclassified","Excellent"))))</f>
        <v>Missing</v>
      </c>
    </row>
    <row r="111" spans="1:10" x14ac:dyDescent="0.35">
      <c r="A111" t="s">
        <v>316</v>
      </c>
      <c r="B111" s="5">
        <v>199</v>
      </c>
      <c r="C111" s="5">
        <v>553</v>
      </c>
      <c r="D111" s="5" t="str">
        <f>IF(tblProducts[[#This Row],[Current Price]]="","Missing",IF(tblProducts[[#This Row],[Current Price]]&lt;Price_Q1,"Low Price",IF(tblProducts[[#This Row],[Current Price]]&lt;Price_Q3,"Medium Price","High Price")))</f>
        <v>Low Price</v>
      </c>
      <c r="E111" s="5">
        <f>tblProducts[[#This Row],[Old Price]]-tblProducts[[#This Row],[Current Price]]</f>
        <v>354</v>
      </c>
      <c r="F111" s="6">
        <v>0.64</v>
      </c>
      <c r="G111" s="6" t="str">
        <f>IF(tblProducts[[#This Row],[Discount]]="","Missing",IF(tblProducts[[#This Row],[Discount]]&lt;20%,"Low Discount",IF(tblProducts[[#This Row],[Discount]]&lt;=40%,"Medium Discount","High Discount")))</f>
        <v>High Discount</v>
      </c>
      <c r="H111" s="7" t="s">
        <v>341</v>
      </c>
      <c r="I111" s="3"/>
      <c r="J111" s="3" t="str">
        <f>IF(tblProducts[[#This Row],[Rating]]="","Missing",IF(tblProducts[[#This Row],[Rating]]&lt;3,"Poor",IF(tblProducts[[#This Row],[Rating]]&lt;=4,"Average",IF(tblProducts[[#This Row],[Rating]]&lt;4.5, "Unclassified","Excellent"))))</f>
        <v>Missing</v>
      </c>
    </row>
    <row r="112" spans="1:10" x14ac:dyDescent="0.35">
      <c r="A112" t="s">
        <v>318</v>
      </c>
      <c r="B112" s="5">
        <v>450</v>
      </c>
      <c r="C112" s="5">
        <v>900</v>
      </c>
      <c r="D112" s="5" t="str">
        <f>IF(tblProducts[[#This Row],[Current Price]]="","Missing",IF(tblProducts[[#This Row],[Current Price]]&lt;Price_Q1,"Low Price",IF(tblProducts[[#This Row],[Current Price]]&lt;Price_Q3,"Medium Price","High Price")))</f>
        <v>Low Price</v>
      </c>
      <c r="E112" s="5">
        <f>tblProducts[[#This Row],[Old Price]]-tblProducts[[#This Row],[Current Price]]</f>
        <v>450</v>
      </c>
      <c r="F112" s="6">
        <v>0.5</v>
      </c>
      <c r="G112" s="6" t="str">
        <f>IF(tblProducts[[#This Row],[Discount]]="","Missing",IF(tblProducts[[#This Row],[Discount]]&lt;20%,"Low Discount",IF(tblProducts[[#This Row],[Discount]]&lt;=40%,"Medium Discount","High Discount")))</f>
        <v>High Discount</v>
      </c>
      <c r="H112" s="7">
        <v>1</v>
      </c>
      <c r="I112" s="3">
        <v>2</v>
      </c>
      <c r="J112" s="3" t="str">
        <f>IF(tblProducts[[#This Row],[Rating]]="","Missing",IF(tblProducts[[#This Row],[Rating]]&lt;3,"Poor",IF(tblProducts[[#This Row],[Rating]]&lt;=4,"Average",IF(tblProducts[[#This Row],[Rating]]&lt;4.5, "Unclassified","Excellent"))))</f>
        <v>Poor</v>
      </c>
    </row>
    <row r="113" spans="1:10" x14ac:dyDescent="0.35">
      <c r="A113" t="s">
        <v>320</v>
      </c>
      <c r="B113" s="5">
        <v>169</v>
      </c>
      <c r="C113" s="5">
        <v>320</v>
      </c>
      <c r="D113" s="5" t="str">
        <f>IF(tblProducts[[#This Row],[Current Price]]="","Missing",IF(tblProducts[[#This Row],[Current Price]]&lt;Price_Q1,"Low Price",IF(tblProducts[[#This Row],[Current Price]]&lt;Price_Q3,"Medium Price","High Price")))</f>
        <v>Low Price</v>
      </c>
      <c r="E113" s="5">
        <f>tblProducts[[#This Row],[Old Price]]-tblProducts[[#This Row],[Current Price]]</f>
        <v>151</v>
      </c>
      <c r="F113" s="6">
        <v>0.47</v>
      </c>
      <c r="G113" s="6" t="str">
        <f>IF(tblProducts[[#This Row],[Discount]]="","Missing",IF(tblProducts[[#This Row],[Discount]]&lt;20%,"Low Discount",IF(tblProducts[[#This Row],[Discount]]&lt;=40%,"Medium Discount","High Discount")))</f>
        <v>High Discount</v>
      </c>
      <c r="H113" s="7" t="s">
        <v>341</v>
      </c>
      <c r="I113" s="3"/>
      <c r="J113" s="3" t="str">
        <f>IF(tblProducts[[#This Row],[Rating]]="","Missing",IF(tblProducts[[#This Row],[Rating]]&lt;3,"Poor",IF(tblProducts[[#This Row],[Rating]]&lt;=4,"Average",IF(tblProducts[[#This Row],[Rating]]&lt;4.5, "Unclassified","Excellent"))))</f>
        <v>Missing</v>
      </c>
    </row>
    <row r="114" spans="1:10" x14ac:dyDescent="0.35">
      <c r="B114"/>
      <c r="C114"/>
      <c r="D114"/>
      <c r="E114"/>
      <c r="G114"/>
      <c r="H114"/>
      <c r="J114"/>
    </row>
    <row r="115" spans="1:10" x14ac:dyDescent="0.35">
      <c r="B115"/>
      <c r="C115"/>
      <c r="D115"/>
      <c r="E115"/>
      <c r="G115"/>
      <c r="H115"/>
      <c r="J115"/>
    </row>
    <row r="116" spans="1:10" x14ac:dyDescent="0.35">
      <c r="B116"/>
      <c r="C116"/>
      <c r="D116"/>
      <c r="E116"/>
      <c r="G116"/>
      <c r="H116"/>
      <c r="J116"/>
    </row>
  </sheetData>
  <phoneticPr fontId="19"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3B00C-6A09-46CA-8A8E-449D04A418B0}">
  <dimension ref="A1:E24"/>
  <sheetViews>
    <sheetView workbookViewId="0">
      <selection activeCell="B2" sqref="B2"/>
    </sheetView>
  </sheetViews>
  <sheetFormatPr defaultRowHeight="14.5" x14ac:dyDescent="0.35"/>
  <cols>
    <col min="1" max="1" width="20.36328125" bestFit="1" customWidth="1"/>
    <col min="2" max="2" width="20.90625" customWidth="1"/>
    <col min="4" max="4" width="19.26953125" customWidth="1"/>
    <col min="5" max="5" width="17.7265625" customWidth="1"/>
  </cols>
  <sheetData>
    <row r="1" spans="1:5" x14ac:dyDescent="0.35">
      <c r="A1" s="26" t="s">
        <v>370</v>
      </c>
      <c r="B1" s="26"/>
    </row>
    <row r="2" spans="1:5" x14ac:dyDescent="0.35">
      <c r="A2" s="16" t="s">
        <v>371</v>
      </c>
      <c r="B2" s="15">
        <f>_xlfn.QUARTILE.INC(tblProducts[Current Price],1)</f>
        <v>493</v>
      </c>
      <c r="D2" t="s">
        <v>411</v>
      </c>
      <c r="E2" t="s">
        <v>418</v>
      </c>
    </row>
    <row r="3" spans="1:5" x14ac:dyDescent="0.35">
      <c r="A3" s="16" t="s">
        <v>372</v>
      </c>
      <c r="B3" s="15">
        <f>_xlfn.QUARTILE.INC(tblProducts[Current Price],3)</f>
        <v>1669.5</v>
      </c>
      <c r="D3" t="s">
        <v>416</v>
      </c>
      <c r="E3" s="8">
        <f>CORREL(tblProducts[Discount],tblProducts[Review])</f>
        <v>-0.13682272428088296</v>
      </c>
    </row>
    <row r="4" spans="1:5" x14ac:dyDescent="0.35">
      <c r="A4" s="22"/>
      <c r="B4" s="23"/>
      <c r="D4" t="s">
        <v>417</v>
      </c>
      <c r="E4" s="8">
        <f>CORREL(tblProducts[Rating],tblProducts[Review])</f>
        <v>5.7209035119876482E-2</v>
      </c>
    </row>
    <row r="5" spans="1:5" x14ac:dyDescent="0.35">
      <c r="D5" t="s">
        <v>419</v>
      </c>
      <c r="E5" s="8">
        <f>CORREL(tblProducts[Current Price],tblProducts[Rating])</f>
        <v>0.11009021272510708</v>
      </c>
    </row>
    <row r="6" spans="1:5" x14ac:dyDescent="0.35">
      <c r="A6" s="15"/>
      <c r="B6" s="15"/>
    </row>
    <row r="7" spans="1:5" x14ac:dyDescent="0.35">
      <c r="A7" s="16" t="s">
        <v>411</v>
      </c>
      <c r="B7" s="16" t="s">
        <v>412</v>
      </c>
    </row>
    <row r="8" spans="1:5" x14ac:dyDescent="0.35">
      <c r="A8" s="15" t="s">
        <v>377</v>
      </c>
      <c r="B8" s="18">
        <f>ROWS(tblProducts[Product])</f>
        <v>112</v>
      </c>
      <c r="C8" s="8"/>
    </row>
    <row r="9" spans="1:5" x14ac:dyDescent="0.35">
      <c r="A9" s="15" t="s">
        <v>378</v>
      </c>
      <c r="B9" s="19">
        <f>AVERAGE(tblProducts[Current Price])</f>
        <v>1186.8928571428571</v>
      </c>
    </row>
    <row r="10" spans="1:5" x14ac:dyDescent="0.35">
      <c r="A10" s="15" t="s">
        <v>379</v>
      </c>
      <c r="B10" s="19">
        <f>AVERAGE(tblProducts[Old Price])</f>
        <v>1811.1071428571429</v>
      </c>
    </row>
    <row r="11" spans="1:5" x14ac:dyDescent="0.35">
      <c r="A11" s="15" t="s">
        <v>380</v>
      </c>
      <c r="B11" s="20">
        <f>AVERAGE(tblProducts[Discount])</f>
        <v>0.36776785714285715</v>
      </c>
    </row>
    <row r="12" spans="1:5" x14ac:dyDescent="0.35">
      <c r="A12" s="15" t="s">
        <v>381</v>
      </c>
      <c r="B12" s="21">
        <f>AVERAGE(tblProducts[Rating])</f>
        <v>3.8894736842105258</v>
      </c>
    </row>
    <row r="13" spans="1:5" x14ac:dyDescent="0.35">
      <c r="A13" s="15" t="s">
        <v>382</v>
      </c>
      <c r="B13" s="15">
        <f>SUM(tblProducts[Review])</f>
        <v>723</v>
      </c>
    </row>
    <row r="14" spans="1:5" x14ac:dyDescent="0.35">
      <c r="A14" s="15" t="s">
        <v>383</v>
      </c>
      <c r="B14" s="19">
        <f>MAX(tblProducts[Current Price])</f>
        <v>3750</v>
      </c>
    </row>
    <row r="15" spans="1:5" x14ac:dyDescent="0.35">
      <c r="A15" s="15" t="s">
        <v>384</v>
      </c>
      <c r="B15" s="19">
        <f>MIN(tblProducts[Current Price])</f>
        <v>38</v>
      </c>
    </row>
    <row r="16" spans="1:5" x14ac:dyDescent="0.35">
      <c r="A16" s="23"/>
      <c r="B16" s="24"/>
    </row>
    <row r="17" spans="1:2" x14ac:dyDescent="0.35">
      <c r="A17" s="23"/>
      <c r="B17" s="23"/>
    </row>
    <row r="18" spans="1:2" x14ac:dyDescent="0.35">
      <c r="A18" s="25" t="s">
        <v>385</v>
      </c>
      <c r="B18" s="25"/>
    </row>
    <row r="19" spans="1:2" ht="58" x14ac:dyDescent="0.35">
      <c r="A19" s="16" t="s">
        <v>386</v>
      </c>
      <c r="B19" s="17" t="str">
        <f>_xlfn.XLOOKUP($B$14,tblProducts[Current Price],tblProducts[Product])</f>
        <v>32PCS Portable Cordless Drill Set With Cyclic Battery Drive -26 Variable Speed</v>
      </c>
    </row>
    <row r="20" spans="1:2" ht="43.5" x14ac:dyDescent="0.35">
      <c r="A20" s="16" t="s">
        <v>387</v>
      </c>
      <c r="B20" s="17" t="str">
        <f>_xlfn.XLOOKUP($B$15,tblProducts[Current Price],tblProducts[Product])</f>
        <v>3PCS Single Head Knitting Crochet Sweater Needle Set</v>
      </c>
    </row>
    <row r="24" spans="1:2" x14ac:dyDescent="0.35">
      <c r="A24" s="12"/>
    </row>
  </sheetData>
  <mergeCells count="2">
    <mergeCell ref="A18:B18"/>
    <mergeCell ref="A1:B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22952-90A9-4E21-9164-75E26C91B823}">
  <dimension ref="B3:V111"/>
  <sheetViews>
    <sheetView topLeftCell="E1" zoomScale="40" zoomScaleNormal="40" workbookViewId="0">
      <selection activeCell="E31" sqref="E31"/>
    </sheetView>
  </sheetViews>
  <sheetFormatPr defaultRowHeight="14.5" x14ac:dyDescent="0.35"/>
  <cols>
    <col min="1" max="1" width="18.26953125" bestFit="1" customWidth="1"/>
    <col min="2" max="2" width="76.7265625" bestFit="1" customWidth="1"/>
    <col min="3" max="3" width="23.26953125" bestFit="1" customWidth="1"/>
    <col min="4" max="4" width="21.7265625" bestFit="1" customWidth="1"/>
    <col min="5" max="5" width="72.6328125" bestFit="1" customWidth="1"/>
    <col min="6" max="6" width="19.1796875" bestFit="1" customWidth="1"/>
    <col min="7" max="7" width="24" bestFit="1" customWidth="1"/>
    <col min="8" max="8" width="23.26953125" bestFit="1" customWidth="1"/>
    <col min="17" max="17" width="22.6328125" bestFit="1" customWidth="1"/>
    <col min="21" max="21" width="20.81640625" bestFit="1" customWidth="1"/>
    <col min="22" max="22" width="22.6328125" bestFit="1" customWidth="1"/>
  </cols>
  <sheetData>
    <row r="3" spans="2:22" x14ac:dyDescent="0.35">
      <c r="U3" s="9" t="s">
        <v>393</v>
      </c>
      <c r="V3" t="s">
        <v>403</v>
      </c>
    </row>
    <row r="4" spans="2:22" x14ac:dyDescent="0.35">
      <c r="B4" s="9" t="s">
        <v>393</v>
      </c>
      <c r="C4" t="s">
        <v>403</v>
      </c>
      <c r="E4" s="9" t="s">
        <v>393</v>
      </c>
      <c r="F4" t="s">
        <v>409</v>
      </c>
      <c r="U4" s="10" t="s">
        <v>398</v>
      </c>
      <c r="V4" s="11">
        <v>13</v>
      </c>
    </row>
    <row r="5" spans="2:22" x14ac:dyDescent="0.35">
      <c r="B5" s="10" t="s">
        <v>397</v>
      </c>
      <c r="C5" s="11">
        <v>62</v>
      </c>
      <c r="E5" s="10" t="s">
        <v>407</v>
      </c>
      <c r="F5" s="3">
        <v>3.6357142857142857</v>
      </c>
      <c r="U5" s="10" t="s">
        <v>399</v>
      </c>
      <c r="V5" s="11">
        <v>23</v>
      </c>
    </row>
    <row r="6" spans="2:22" x14ac:dyDescent="0.35">
      <c r="B6" s="10" t="s">
        <v>405</v>
      </c>
      <c r="C6" s="11">
        <v>32</v>
      </c>
      <c r="E6" s="10" t="s">
        <v>408</v>
      </c>
      <c r="F6" s="3">
        <v>3.8833333333333333</v>
      </c>
      <c r="U6" s="10" t="s">
        <v>400</v>
      </c>
      <c r="V6" s="11">
        <v>55</v>
      </c>
    </row>
    <row r="7" spans="2:22" x14ac:dyDescent="0.35">
      <c r="B7" s="10" t="s">
        <v>404</v>
      </c>
      <c r="C7" s="11">
        <v>18</v>
      </c>
      <c r="E7" s="10" t="s">
        <v>406</v>
      </c>
      <c r="F7" s="3">
        <v>4.0842105263157888</v>
      </c>
      <c r="U7" s="10" t="s">
        <v>401</v>
      </c>
      <c r="V7" s="11">
        <v>12</v>
      </c>
    </row>
    <row r="8" spans="2:22" x14ac:dyDescent="0.35">
      <c r="B8" s="10" t="s">
        <v>394</v>
      </c>
      <c r="C8" s="11">
        <v>112</v>
      </c>
      <c r="E8" s="10" t="s">
        <v>394</v>
      </c>
      <c r="F8" s="3">
        <v>3.8894736842105258</v>
      </c>
      <c r="U8" s="10" t="s">
        <v>402</v>
      </c>
      <c r="V8" s="11">
        <v>9</v>
      </c>
    </row>
    <row r="9" spans="2:22" x14ac:dyDescent="0.35">
      <c r="U9" s="10" t="s">
        <v>394</v>
      </c>
      <c r="V9" s="11">
        <v>112</v>
      </c>
    </row>
    <row r="14" spans="2:22" x14ac:dyDescent="0.35">
      <c r="B14" s="9" t="s">
        <v>393</v>
      </c>
      <c r="C14" t="s">
        <v>409</v>
      </c>
      <c r="E14" s="9" t="s">
        <v>393</v>
      </c>
      <c r="F14" t="s">
        <v>396</v>
      </c>
    </row>
    <row r="15" spans="2:22" x14ac:dyDescent="0.35">
      <c r="B15" s="10" t="s">
        <v>120</v>
      </c>
      <c r="C15" s="11">
        <v>5</v>
      </c>
      <c r="E15" s="10" t="s">
        <v>194</v>
      </c>
      <c r="F15" s="11">
        <v>69</v>
      </c>
    </row>
    <row r="16" spans="2:22" x14ac:dyDescent="0.35">
      <c r="B16" s="10" t="s">
        <v>63</v>
      </c>
      <c r="C16" s="11">
        <v>5</v>
      </c>
      <c r="E16" s="10" t="s">
        <v>30</v>
      </c>
      <c r="F16" s="11">
        <v>55</v>
      </c>
    </row>
    <row r="17" spans="2:6" x14ac:dyDescent="0.35">
      <c r="B17" s="10" t="s">
        <v>295</v>
      </c>
      <c r="C17" s="11">
        <v>5</v>
      </c>
      <c r="E17" s="10" t="s">
        <v>89</v>
      </c>
      <c r="F17" s="11">
        <v>49</v>
      </c>
    </row>
    <row r="18" spans="2:6" x14ac:dyDescent="0.35">
      <c r="B18" s="10" t="s">
        <v>362</v>
      </c>
      <c r="C18" s="11">
        <v>5</v>
      </c>
      <c r="E18" s="10" t="s">
        <v>68</v>
      </c>
      <c r="F18" s="11">
        <v>44</v>
      </c>
    </row>
    <row r="19" spans="2:6" x14ac:dyDescent="0.35">
      <c r="B19" s="10" t="s">
        <v>363</v>
      </c>
      <c r="C19" s="11">
        <v>5</v>
      </c>
      <c r="E19" s="10" t="s">
        <v>44</v>
      </c>
      <c r="F19" s="11">
        <v>39</v>
      </c>
    </row>
    <row r="20" spans="2:6" x14ac:dyDescent="0.35">
      <c r="B20" s="10" t="s">
        <v>245</v>
      </c>
      <c r="C20" s="11">
        <v>5</v>
      </c>
      <c r="E20" s="10" t="s">
        <v>122</v>
      </c>
      <c r="F20" s="11">
        <v>36</v>
      </c>
    </row>
    <row r="21" spans="2:6" x14ac:dyDescent="0.35">
      <c r="B21" s="10" t="s">
        <v>117</v>
      </c>
      <c r="C21" s="11">
        <v>5</v>
      </c>
      <c r="E21" s="10" t="s">
        <v>114</v>
      </c>
      <c r="F21" s="11">
        <v>32</v>
      </c>
    </row>
    <row r="22" spans="2:6" x14ac:dyDescent="0.35">
      <c r="B22" s="10" t="s">
        <v>35</v>
      </c>
      <c r="C22" s="11">
        <v>4.8</v>
      </c>
      <c r="E22" s="10" t="s">
        <v>14</v>
      </c>
      <c r="F22" s="11">
        <v>24</v>
      </c>
    </row>
    <row r="23" spans="2:6" x14ac:dyDescent="0.35">
      <c r="B23" s="10" t="s">
        <v>22</v>
      </c>
      <c r="C23" s="11">
        <v>4.8</v>
      </c>
      <c r="E23" s="10" t="s">
        <v>97</v>
      </c>
      <c r="F23" s="11">
        <v>20</v>
      </c>
    </row>
    <row r="24" spans="2:6" x14ac:dyDescent="0.35">
      <c r="B24" s="10" t="s">
        <v>47</v>
      </c>
      <c r="C24" s="11">
        <v>4.8</v>
      </c>
      <c r="E24" s="10" t="s">
        <v>111</v>
      </c>
      <c r="F24" s="11">
        <v>20</v>
      </c>
    </row>
    <row r="25" spans="2:6" x14ac:dyDescent="0.35">
      <c r="B25" s="10" t="s">
        <v>394</v>
      </c>
      <c r="C25" s="11">
        <v>4.9399999999999995</v>
      </c>
      <c r="E25" s="10" t="s">
        <v>394</v>
      </c>
      <c r="F25" s="11">
        <v>388</v>
      </c>
    </row>
    <row r="31" spans="2:6" x14ac:dyDescent="0.35">
      <c r="E31" s="9" t="s">
        <v>393</v>
      </c>
      <c r="F31" t="s">
        <v>410</v>
      </c>
    </row>
    <row r="32" spans="2:6" x14ac:dyDescent="0.35">
      <c r="B32" s="9" t="s">
        <v>393</v>
      </c>
      <c r="C32" t="s">
        <v>396</v>
      </c>
      <c r="E32" s="10" t="s">
        <v>316</v>
      </c>
      <c r="F32" s="1">
        <v>0.64</v>
      </c>
    </row>
    <row r="33" spans="2:6" x14ac:dyDescent="0.35">
      <c r="B33" s="10" t="s">
        <v>405</v>
      </c>
      <c r="C33" s="11">
        <v>351</v>
      </c>
      <c r="E33" s="10" t="s">
        <v>35</v>
      </c>
      <c r="F33" s="1">
        <v>0.55000000000000004</v>
      </c>
    </row>
    <row r="34" spans="2:6" x14ac:dyDescent="0.35">
      <c r="B34" s="10" t="s">
        <v>397</v>
      </c>
      <c r="C34" s="11">
        <v>334</v>
      </c>
      <c r="E34" s="10" t="s">
        <v>190</v>
      </c>
      <c r="F34" s="1">
        <v>0.55000000000000004</v>
      </c>
    </row>
    <row r="35" spans="2:6" x14ac:dyDescent="0.35">
      <c r="B35" s="10" t="s">
        <v>404</v>
      </c>
      <c r="C35" s="11">
        <v>38</v>
      </c>
      <c r="E35" s="10" t="s">
        <v>154</v>
      </c>
      <c r="F35" s="1">
        <v>0.55000000000000004</v>
      </c>
    </row>
    <row r="36" spans="2:6" x14ac:dyDescent="0.35">
      <c r="B36" s="10" t="s">
        <v>394</v>
      </c>
      <c r="C36" s="11">
        <v>723</v>
      </c>
      <c r="E36" s="10" t="s">
        <v>85</v>
      </c>
      <c r="F36" s="1">
        <v>0.54</v>
      </c>
    </row>
    <row r="37" spans="2:6" x14ac:dyDescent="0.35">
      <c r="E37" s="10" t="s">
        <v>186</v>
      </c>
      <c r="F37" s="1">
        <v>0.54</v>
      </c>
    </row>
    <row r="38" spans="2:6" x14ac:dyDescent="0.35">
      <c r="E38" s="10" t="s">
        <v>120</v>
      </c>
      <c r="F38" s="1">
        <v>0.53</v>
      </c>
    </row>
    <row r="39" spans="2:6" x14ac:dyDescent="0.35">
      <c r="E39" s="10" t="s">
        <v>71</v>
      </c>
      <c r="F39" s="1">
        <v>0.53</v>
      </c>
    </row>
    <row r="40" spans="2:6" x14ac:dyDescent="0.35">
      <c r="E40" s="10" t="s">
        <v>102</v>
      </c>
      <c r="F40" s="1">
        <v>0.52</v>
      </c>
    </row>
    <row r="41" spans="2:6" x14ac:dyDescent="0.35">
      <c r="E41" s="10" t="s">
        <v>365</v>
      </c>
      <c r="F41" s="1">
        <v>0.52</v>
      </c>
    </row>
    <row r="42" spans="2:6" x14ac:dyDescent="0.35">
      <c r="E42" s="10" t="s">
        <v>394</v>
      </c>
      <c r="F42" s="1">
        <v>0.54727272727272724</v>
      </c>
    </row>
    <row r="59" spans="2:8" x14ac:dyDescent="0.35">
      <c r="F59" s="9" t="s">
        <v>4</v>
      </c>
      <c r="G59" t="s">
        <v>395</v>
      </c>
    </row>
    <row r="60" spans="2:8" x14ac:dyDescent="0.35">
      <c r="B60" s="9" t="s">
        <v>342</v>
      </c>
      <c r="C60" t="s">
        <v>395</v>
      </c>
      <c r="F60" s="9" t="s">
        <v>342</v>
      </c>
      <c r="G60" t="s">
        <v>395</v>
      </c>
    </row>
    <row r="62" spans="2:8" x14ac:dyDescent="0.35">
      <c r="B62" s="9" t="s">
        <v>393</v>
      </c>
      <c r="C62" t="s">
        <v>409</v>
      </c>
      <c r="D62" t="s">
        <v>414</v>
      </c>
      <c r="F62" s="9" t="s">
        <v>393</v>
      </c>
      <c r="G62" t="s">
        <v>415</v>
      </c>
      <c r="H62" t="s">
        <v>409</v>
      </c>
    </row>
    <row r="63" spans="2:8" x14ac:dyDescent="0.35">
      <c r="B63" s="10" t="s">
        <v>190</v>
      </c>
      <c r="C63" s="11">
        <v>2.1</v>
      </c>
      <c r="D63" s="11">
        <v>0.55000000000000004</v>
      </c>
      <c r="F63" s="10" t="s">
        <v>190</v>
      </c>
      <c r="G63" s="11">
        <v>13</v>
      </c>
      <c r="H63" s="11">
        <v>2.1</v>
      </c>
    </row>
    <row r="64" spans="2:8" x14ac:dyDescent="0.35">
      <c r="B64" s="10" t="s">
        <v>209</v>
      </c>
      <c r="C64" s="11">
        <v>2.2999999999999998</v>
      </c>
      <c r="D64" s="11">
        <v>0.5</v>
      </c>
      <c r="F64" s="10" t="s">
        <v>209</v>
      </c>
      <c r="G64" s="11">
        <v>7</v>
      </c>
      <c r="H64" s="11">
        <v>2.2999999999999998</v>
      </c>
    </row>
    <row r="65" spans="2:8" x14ac:dyDescent="0.35">
      <c r="B65" s="10" t="s">
        <v>318</v>
      </c>
      <c r="C65" s="11">
        <v>2</v>
      </c>
      <c r="D65" s="11">
        <v>0.5</v>
      </c>
      <c r="F65" s="10" t="s">
        <v>229</v>
      </c>
      <c r="G65" s="11">
        <v>7</v>
      </c>
      <c r="H65" s="11">
        <v>2.1</v>
      </c>
    </row>
    <row r="66" spans="2:8" x14ac:dyDescent="0.35">
      <c r="B66" s="10" t="s">
        <v>229</v>
      </c>
      <c r="C66" s="11">
        <v>2.1</v>
      </c>
      <c r="D66" s="11">
        <v>0.47</v>
      </c>
      <c r="F66" s="10" t="s">
        <v>227</v>
      </c>
      <c r="G66" s="11">
        <v>6</v>
      </c>
      <c r="H66" s="11">
        <v>2.2000000000000002</v>
      </c>
    </row>
    <row r="67" spans="2:8" x14ac:dyDescent="0.35">
      <c r="B67" s="10" t="s">
        <v>227</v>
      </c>
      <c r="C67" s="11">
        <v>2.2000000000000002</v>
      </c>
      <c r="D67" s="11">
        <v>0.47</v>
      </c>
      <c r="F67" s="10" t="s">
        <v>221</v>
      </c>
      <c r="G67" s="11">
        <v>6</v>
      </c>
      <c r="H67" s="11">
        <v>2.2999999999999998</v>
      </c>
    </row>
    <row r="68" spans="2:8" x14ac:dyDescent="0.35">
      <c r="B68" s="10" t="s">
        <v>206</v>
      </c>
      <c r="C68" s="11">
        <v>2.2000000000000002</v>
      </c>
      <c r="D68" s="11">
        <v>0.45</v>
      </c>
      <c r="F68" s="10" t="s">
        <v>206</v>
      </c>
      <c r="G68" s="11">
        <v>6</v>
      </c>
      <c r="H68" s="11">
        <v>2.2000000000000002</v>
      </c>
    </row>
    <row r="69" spans="2:8" x14ac:dyDescent="0.35">
      <c r="B69" s="10" t="s">
        <v>221</v>
      </c>
      <c r="C69" s="11">
        <v>2.2999999999999998</v>
      </c>
      <c r="D69" s="11">
        <v>0.43</v>
      </c>
      <c r="F69" s="10" t="s">
        <v>318</v>
      </c>
      <c r="G69" s="11">
        <v>1</v>
      </c>
      <c r="H69" s="11">
        <v>2</v>
      </c>
    </row>
    <row r="70" spans="2:8" x14ac:dyDescent="0.35">
      <c r="B70" s="10" t="s">
        <v>394</v>
      </c>
      <c r="C70" s="11">
        <v>2.1714285714285713</v>
      </c>
      <c r="D70" s="11">
        <v>3.37</v>
      </c>
      <c r="F70" s="10" t="s">
        <v>394</v>
      </c>
      <c r="G70" s="11">
        <v>6.5714285714285712</v>
      </c>
      <c r="H70" s="11">
        <v>2.1714285714285713</v>
      </c>
    </row>
    <row r="78" spans="2:8" x14ac:dyDescent="0.35">
      <c r="B78" s="9" t="s">
        <v>4</v>
      </c>
      <c r="C78" t="s">
        <v>395</v>
      </c>
    </row>
    <row r="80" spans="2:8" x14ac:dyDescent="0.35">
      <c r="B80" s="9" t="s">
        <v>393</v>
      </c>
      <c r="C80" t="s">
        <v>415</v>
      </c>
      <c r="D80" t="s">
        <v>414</v>
      </c>
    </row>
    <row r="81" spans="2:4" x14ac:dyDescent="0.35">
      <c r="B81" s="10" t="s">
        <v>209</v>
      </c>
      <c r="C81" s="11">
        <v>7</v>
      </c>
      <c r="D81" s="11">
        <v>0.5</v>
      </c>
    </row>
    <row r="82" spans="2:4" x14ac:dyDescent="0.35">
      <c r="B82" s="10" t="s">
        <v>71</v>
      </c>
      <c r="C82" s="11">
        <v>13</v>
      </c>
      <c r="D82" s="11">
        <v>0.53</v>
      </c>
    </row>
    <row r="83" spans="2:4" x14ac:dyDescent="0.35">
      <c r="B83" s="10" t="s">
        <v>190</v>
      </c>
      <c r="C83" s="11">
        <v>13</v>
      </c>
      <c r="D83" s="11">
        <v>0.55000000000000004</v>
      </c>
    </row>
    <row r="84" spans="2:4" x14ac:dyDescent="0.35">
      <c r="B84" s="10" t="s">
        <v>362</v>
      </c>
      <c r="C84" s="11">
        <v>2</v>
      </c>
      <c r="D84" s="11">
        <v>0.51</v>
      </c>
    </row>
    <row r="85" spans="2:4" x14ac:dyDescent="0.35">
      <c r="B85" s="10" t="s">
        <v>120</v>
      </c>
      <c r="C85" s="11">
        <v>2</v>
      </c>
      <c r="D85" s="11">
        <v>0.53</v>
      </c>
    </row>
    <row r="86" spans="2:4" x14ac:dyDescent="0.35">
      <c r="B86" s="10" t="s">
        <v>102</v>
      </c>
      <c r="C86" s="11">
        <v>9</v>
      </c>
      <c r="D86" s="11">
        <v>0.52</v>
      </c>
    </row>
    <row r="87" spans="2:4" x14ac:dyDescent="0.35">
      <c r="B87" s="10" t="s">
        <v>365</v>
      </c>
      <c r="C87" s="11">
        <v>15</v>
      </c>
      <c r="D87" s="11">
        <v>0.52</v>
      </c>
    </row>
    <row r="88" spans="2:4" x14ac:dyDescent="0.35">
      <c r="B88" s="10" t="s">
        <v>85</v>
      </c>
      <c r="C88" s="11">
        <v>7</v>
      </c>
      <c r="D88" s="11">
        <v>0.54</v>
      </c>
    </row>
    <row r="89" spans="2:4" x14ac:dyDescent="0.35">
      <c r="B89" s="10" t="s">
        <v>35</v>
      </c>
      <c r="C89" s="11">
        <v>5</v>
      </c>
      <c r="D89" s="11">
        <v>0.55000000000000004</v>
      </c>
    </row>
    <row r="90" spans="2:4" x14ac:dyDescent="0.35">
      <c r="B90" s="10" t="s">
        <v>186</v>
      </c>
      <c r="C90" s="11">
        <v>10</v>
      </c>
      <c r="D90" s="11">
        <v>0.54</v>
      </c>
    </row>
    <row r="91" spans="2:4" x14ac:dyDescent="0.35">
      <c r="B91" s="10" t="s">
        <v>318</v>
      </c>
      <c r="C91" s="11">
        <v>1</v>
      </c>
      <c r="D91" s="11">
        <v>0.5</v>
      </c>
    </row>
    <row r="92" spans="2:4" x14ac:dyDescent="0.35">
      <c r="B92" s="10" t="s">
        <v>394</v>
      </c>
      <c r="C92" s="11">
        <v>7.6363636363636367</v>
      </c>
      <c r="D92" s="11">
        <v>5.79</v>
      </c>
    </row>
    <row r="96" spans="2:4" x14ac:dyDescent="0.35">
      <c r="B96" s="9" t="s">
        <v>342</v>
      </c>
      <c r="C96" t="s">
        <v>395</v>
      </c>
    </row>
    <row r="98" spans="2:3" x14ac:dyDescent="0.35">
      <c r="B98" s="9" t="s">
        <v>393</v>
      </c>
      <c r="C98" t="s">
        <v>413</v>
      </c>
    </row>
    <row r="99" spans="2:3" x14ac:dyDescent="0.35">
      <c r="B99" s="10" t="s">
        <v>117</v>
      </c>
      <c r="C99" s="11">
        <v>5</v>
      </c>
    </row>
    <row r="100" spans="2:3" x14ac:dyDescent="0.35">
      <c r="B100" s="10" t="s">
        <v>63</v>
      </c>
      <c r="C100" s="11">
        <v>5</v>
      </c>
    </row>
    <row r="101" spans="2:3" x14ac:dyDescent="0.35">
      <c r="B101" s="10" t="s">
        <v>295</v>
      </c>
      <c r="C101" s="11">
        <v>5</v>
      </c>
    </row>
    <row r="102" spans="2:3" x14ac:dyDescent="0.35">
      <c r="B102" s="10" t="s">
        <v>362</v>
      </c>
      <c r="C102" s="11">
        <v>5</v>
      </c>
    </row>
    <row r="103" spans="2:3" x14ac:dyDescent="0.35">
      <c r="B103" s="10" t="s">
        <v>363</v>
      </c>
      <c r="C103" s="11">
        <v>5</v>
      </c>
    </row>
    <row r="104" spans="2:3" x14ac:dyDescent="0.35">
      <c r="B104" s="10" t="s">
        <v>245</v>
      </c>
      <c r="C104" s="11">
        <v>5</v>
      </c>
    </row>
    <row r="105" spans="2:3" x14ac:dyDescent="0.35">
      <c r="B105" s="10" t="s">
        <v>120</v>
      </c>
      <c r="C105" s="11">
        <v>5</v>
      </c>
    </row>
    <row r="106" spans="2:3" x14ac:dyDescent="0.35">
      <c r="B106" s="10" t="s">
        <v>206</v>
      </c>
      <c r="C106" s="11">
        <v>2.2000000000000002</v>
      </c>
    </row>
    <row r="107" spans="2:3" x14ac:dyDescent="0.35">
      <c r="B107" s="10" t="s">
        <v>227</v>
      </c>
      <c r="C107" s="11">
        <v>2.2000000000000002</v>
      </c>
    </row>
    <row r="108" spans="2:3" x14ac:dyDescent="0.35">
      <c r="B108" s="10" t="s">
        <v>229</v>
      </c>
      <c r="C108" s="11">
        <v>2.1</v>
      </c>
    </row>
    <row r="109" spans="2:3" x14ac:dyDescent="0.35">
      <c r="B109" s="10" t="s">
        <v>190</v>
      </c>
      <c r="C109" s="11">
        <v>2.1</v>
      </c>
    </row>
    <row r="110" spans="2:3" x14ac:dyDescent="0.35">
      <c r="B110" s="10" t="s">
        <v>318</v>
      </c>
      <c r="C110" s="11">
        <v>2</v>
      </c>
    </row>
    <row r="111" spans="2:3" x14ac:dyDescent="0.35">
      <c r="B111" s="10" t="s">
        <v>394</v>
      </c>
      <c r="C111" s="11">
        <v>45.6</v>
      </c>
    </row>
  </sheetData>
  <conditionalFormatting sqref="F62">
    <cfRule type="top10" dxfId="0" priority="1" rank="10"/>
  </conditionalFormatting>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88E78-C54B-4DD1-A9FC-12842749033A}">
  <dimension ref="A1"/>
  <sheetViews>
    <sheetView topLeftCell="A10" zoomScale="80" zoomScaleNormal="80" zoomScaleSheetLayoutView="100" workbookViewId="0">
      <selection activeCell="A20" sqref="A20"/>
    </sheetView>
  </sheetViews>
  <sheetFormatPr defaultRowHeight="14.5" x14ac:dyDescent="0.35"/>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96DC8-1324-4D8F-8381-45D4D4DA8B36}">
  <dimension ref="D6"/>
  <sheetViews>
    <sheetView tabSelected="1" zoomScale="90" zoomScaleNormal="90" zoomScaleSheetLayoutView="100" workbookViewId="0">
      <selection activeCell="O25" sqref="O25"/>
    </sheetView>
  </sheetViews>
  <sheetFormatPr defaultRowHeight="14.5" x14ac:dyDescent="0.35"/>
  <cols>
    <col min="1" max="4" width="8.7265625" style="14"/>
    <col min="5" max="5" width="64.26953125" style="14" bestFit="1" customWidth="1"/>
    <col min="6" max="6" width="20.7265625" style="14" bestFit="1" customWidth="1"/>
    <col min="7" max="16384" width="8.7265625" style="14"/>
  </cols>
  <sheetData>
    <row r="6" spans="4:4" x14ac:dyDescent="0.35">
      <c r="D6" s="13"/>
    </row>
  </sheetData>
  <pageMargins left="0.25" right="0.25"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93B34-9CF4-4E8D-BD62-BB04743F15BF}">
  <dimension ref="A1:D23"/>
  <sheetViews>
    <sheetView topLeftCell="A6" zoomScale="99" zoomScaleNormal="99" workbookViewId="0">
      <selection activeCell="B17" sqref="B17"/>
    </sheetView>
  </sheetViews>
  <sheetFormatPr defaultRowHeight="14.5" x14ac:dyDescent="0.35"/>
  <cols>
    <col min="1" max="1" width="40.08984375" bestFit="1" customWidth="1"/>
    <col min="2" max="2" width="52.54296875" customWidth="1"/>
    <col min="3" max="3" width="24.26953125" bestFit="1" customWidth="1"/>
    <col min="4" max="4" width="22.36328125" customWidth="1"/>
  </cols>
  <sheetData>
    <row r="1" spans="1:4" x14ac:dyDescent="0.35">
      <c r="A1" s="27" t="s">
        <v>323</v>
      </c>
      <c r="B1" s="27"/>
    </row>
    <row r="2" spans="1:4" x14ac:dyDescent="0.35">
      <c r="A2" t="s">
        <v>324</v>
      </c>
      <c r="B2">
        <v>116</v>
      </c>
    </row>
    <row r="3" spans="1:4" x14ac:dyDescent="0.35">
      <c r="A3" t="s">
        <v>325</v>
      </c>
      <c r="B3">
        <v>6</v>
      </c>
    </row>
    <row r="5" spans="1:4" s="4" customFormat="1" x14ac:dyDescent="0.35">
      <c r="A5" s="4" t="s">
        <v>328</v>
      </c>
      <c r="B5" s="4" t="s">
        <v>329</v>
      </c>
      <c r="C5" s="4" t="s">
        <v>330</v>
      </c>
      <c r="D5" s="4" t="s">
        <v>331</v>
      </c>
    </row>
    <row r="6" spans="1:4" ht="72.5" x14ac:dyDescent="0.35">
      <c r="A6" s="2" t="s">
        <v>343</v>
      </c>
      <c r="B6" cm="1">
        <f t="array" ref="B6">SUMPRODUCT(--ISTEXT('Raw Data'!$B$2:$C$116))</f>
        <v>230</v>
      </c>
      <c r="C6" t="s">
        <v>332</v>
      </c>
      <c r="D6" s="2" t="s">
        <v>333</v>
      </c>
    </row>
    <row r="7" spans="1:4" x14ac:dyDescent="0.35">
      <c r="A7" s="2" t="s">
        <v>327</v>
      </c>
      <c r="B7" cm="1">
        <f t="array" ref="B7">SUMPRODUCT(--ISTEXT('Raw Data'!$D$2:$D$116))</f>
        <v>0</v>
      </c>
      <c r="C7" t="s">
        <v>335</v>
      </c>
    </row>
    <row r="8" spans="1:4" ht="87" x14ac:dyDescent="0.35">
      <c r="A8" t="s">
        <v>337</v>
      </c>
      <c r="B8">
        <f>COUNTIF('Raw Data'!$E$1:$E$116, "&lt;0")</f>
        <v>57</v>
      </c>
      <c r="C8" t="s">
        <v>336</v>
      </c>
      <c r="D8" s="2" t="s">
        <v>338</v>
      </c>
    </row>
    <row r="9" spans="1:4" ht="87" x14ac:dyDescent="0.35">
      <c r="A9" t="s">
        <v>339</v>
      </c>
      <c r="B9" cm="1">
        <f t="array" ref="B9">SUMPRODUCT(--ISTEXT('Raw Data'!$F$2:$F$116))</f>
        <v>57</v>
      </c>
      <c r="C9" s="2" t="s">
        <v>334</v>
      </c>
      <c r="D9" s="2" t="s">
        <v>340</v>
      </c>
    </row>
    <row r="10" spans="1:4" x14ac:dyDescent="0.35">
      <c r="A10" t="s">
        <v>326</v>
      </c>
      <c r="B10" s="7">
        <f>COUNTIF('Cleaned Data'!$I$2:$I$113,"&gt;5") + COUNTIF('Cleaned Data'!$F$2:$F$113,"&lt;0")</f>
        <v>0</v>
      </c>
      <c r="C10" t="s">
        <v>357</v>
      </c>
    </row>
    <row r="11" spans="1:4" x14ac:dyDescent="0.35">
      <c r="A11" t="s">
        <v>344</v>
      </c>
      <c r="B11" s="7">
        <f>COUNTIF('Cleaned Data'!$F$2:$F$113, "&gt;100") + COUNTIF('Cleaned Data'!$F$2:$F$113,"&lt;0")</f>
        <v>0</v>
      </c>
      <c r="C11" t="s">
        <v>345</v>
      </c>
    </row>
    <row r="12" spans="1:4" ht="130.5" x14ac:dyDescent="0.35">
      <c r="A12" t="s">
        <v>346</v>
      </c>
      <c r="B12">
        <f>COUNTIF('Cleaned Data'!$B$2:$C$113,"*")</f>
        <v>0</v>
      </c>
      <c r="C12" t="s">
        <v>348</v>
      </c>
      <c r="D12" s="2" t="s">
        <v>349</v>
      </c>
    </row>
    <row r="13" spans="1:4" ht="116" x14ac:dyDescent="0.35">
      <c r="A13" t="s">
        <v>347</v>
      </c>
      <c r="B13">
        <v>3</v>
      </c>
      <c r="C13" s="2" t="s">
        <v>350</v>
      </c>
      <c r="D13" s="2" t="s">
        <v>351</v>
      </c>
    </row>
    <row r="14" spans="1:4" ht="29" x14ac:dyDescent="0.35">
      <c r="A14" t="s">
        <v>352</v>
      </c>
      <c r="B14" cm="1">
        <f t="array" ref="B14">SUMPRODUCT(--(tblProducts[Current Price]&gt;tblProducts[Old Price]))</f>
        <v>0</v>
      </c>
      <c r="C14" s="2" t="s">
        <v>353</v>
      </c>
    </row>
    <row r="15" spans="1:4" ht="72.5" x14ac:dyDescent="0.35">
      <c r="A15" t="s">
        <v>354</v>
      </c>
      <c r="B15">
        <v>1</v>
      </c>
      <c r="C15" s="2" t="s">
        <v>355</v>
      </c>
      <c r="D15" s="2" t="s">
        <v>356</v>
      </c>
    </row>
    <row r="16" spans="1:4" ht="101.5" x14ac:dyDescent="0.35">
      <c r="A16" t="s">
        <v>358</v>
      </c>
      <c r="B16" t="s">
        <v>366</v>
      </c>
      <c r="C16" s="2" t="s">
        <v>359</v>
      </c>
      <c r="D16" s="2" t="s">
        <v>360</v>
      </c>
    </row>
    <row r="17" spans="1:4" ht="58" x14ac:dyDescent="0.35">
      <c r="A17" t="s">
        <v>371</v>
      </c>
      <c r="B17" s="5">
        <v>493</v>
      </c>
      <c r="C17" s="2" t="s">
        <v>373</v>
      </c>
      <c r="D17" s="2" t="s">
        <v>375</v>
      </c>
    </row>
    <row r="18" spans="1:4" ht="58" x14ac:dyDescent="0.35">
      <c r="A18" t="s">
        <v>372</v>
      </c>
      <c r="B18" s="5">
        <v>1669.5</v>
      </c>
      <c r="C18" s="2" t="s">
        <v>374</v>
      </c>
      <c r="D18" s="2" t="s">
        <v>376</v>
      </c>
    </row>
    <row r="19" spans="1:4" ht="58" x14ac:dyDescent="0.35">
      <c r="A19" t="s">
        <v>388</v>
      </c>
      <c r="B19">
        <v>2</v>
      </c>
      <c r="C19" s="2" t="s">
        <v>389</v>
      </c>
      <c r="D19" s="2" t="s">
        <v>392</v>
      </c>
    </row>
    <row r="23" spans="1:4" x14ac:dyDescent="0.35">
      <c r="B23" s="2"/>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Raw Data</vt:lpstr>
      <vt:lpstr>Cleaned Data</vt:lpstr>
      <vt:lpstr>Analysis</vt:lpstr>
      <vt:lpstr>Pivot Tables</vt:lpstr>
      <vt:lpstr>Charts</vt:lpstr>
      <vt:lpstr>Dashboard</vt:lpstr>
      <vt:lpstr>Data Dictionary</vt:lpstr>
      <vt:lpstr>Avearage_Current_Price</vt:lpstr>
      <vt:lpstr>Price_Q1</vt:lpstr>
      <vt:lpstr>Price_Q2</vt:lpstr>
      <vt:lpstr>Price_Q3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Sesoft Technologies</dc:creator>
  <cp:lastModifiedBy>makotech Pro</cp:lastModifiedBy>
  <dcterms:created xsi:type="dcterms:W3CDTF">2026-08-31T18:35:37Z</dcterms:created>
  <dcterms:modified xsi:type="dcterms:W3CDTF">2026-09-05T11:38:38Z</dcterms:modified>
</cp:coreProperties>
</file>